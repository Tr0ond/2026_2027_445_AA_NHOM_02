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BaoCao_Final (5) - File Sửa\BaoCao_Final\"/>
    </mc:Choice>
  </mc:AlternateContent>
  <xr:revisionPtr revIDLastSave="0" documentId="13_ncr:1_{F5F97BFC-D57C-4520-86FD-0486CDFFDAB7}" xr6:coauthVersionLast="47" xr6:coauthVersionMax="47" xr10:uidLastSave="{00000000-0000-0000-0000-000000000000}"/>
  <bookViews>
    <workbookView xWindow="-110" yWindow="-110" windowWidth="25820" windowHeight="15500" tabRatio="500" xr2:uid="{00000000-000D-0000-FFFF-FFFF00000000}"/>
  </bookViews>
  <sheets>
    <sheet name="Sprint 1" sheetId="1" r:id="rId1"/>
    <sheet name="Sprint 2" sheetId="2" r:id="rId2"/>
    <sheet name="Total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K143" i="1" l="1"/>
  <c r="I142" i="1"/>
  <c r="G142" i="1"/>
  <c r="G143" i="1"/>
  <c r="K142" i="1"/>
  <c r="L142" i="1"/>
  <c r="J83" i="2"/>
  <c r="K83" i="2"/>
  <c r="L83" i="2"/>
  <c r="M83" i="2"/>
  <c r="N83" i="2"/>
  <c r="O83" i="2"/>
  <c r="P83" i="2"/>
  <c r="Q83" i="2"/>
  <c r="R83" i="2"/>
  <c r="S83" i="2"/>
  <c r="T83" i="2"/>
  <c r="U83" i="2"/>
  <c r="V83" i="2"/>
  <c r="W83" i="2"/>
  <c r="X83" i="2"/>
  <c r="Y83" i="2"/>
  <c r="I83" i="2"/>
  <c r="Y82" i="2"/>
  <c r="G55" i="2"/>
  <c r="G39" i="2"/>
  <c r="G28" i="2"/>
  <c r="J143" i="1" l="1"/>
  <c r="L143" i="1"/>
  <c r="M143" i="1"/>
  <c r="N143" i="1"/>
  <c r="O143" i="1"/>
  <c r="P143" i="1"/>
  <c r="Q143" i="1"/>
  <c r="R143" i="1"/>
  <c r="S143" i="1"/>
  <c r="T143" i="1"/>
  <c r="U143" i="1"/>
  <c r="V143" i="1"/>
  <c r="W143" i="1"/>
  <c r="X143" i="1"/>
  <c r="I143" i="1"/>
  <c r="J142" i="1" l="1"/>
  <c r="G79" i="1" l="1"/>
  <c r="G95" i="1"/>
  <c r="G93" i="1"/>
  <c r="G92" i="1"/>
  <c r="G53" i="1"/>
  <c r="G52" i="1"/>
  <c r="G51" i="1"/>
  <c r="G50" i="1"/>
  <c r="G48" i="1"/>
  <c r="G45" i="1"/>
  <c r="G43" i="1"/>
  <c r="G42" i="1"/>
  <c r="G41" i="1"/>
  <c r="G39" i="1" l="1"/>
  <c r="G57" i="1"/>
  <c r="G55" i="1"/>
  <c r="G49" i="1"/>
  <c r="G47" i="1"/>
  <c r="G46" i="1"/>
  <c r="G19" i="1"/>
  <c r="G18" i="1"/>
  <c r="G38" i="1"/>
  <c r="I15" i="1"/>
  <c r="J15" i="1" s="1"/>
  <c r="K15" i="1" s="1"/>
  <c r="L15" i="1" s="1"/>
  <c r="M15" i="1" s="1"/>
  <c r="G16" i="1"/>
  <c r="J2" i="3"/>
  <c r="H2" i="3"/>
  <c r="F2" i="3"/>
  <c r="D2" i="3"/>
  <c r="B2" i="3"/>
  <c r="G83" i="2"/>
  <c r="X82" i="2"/>
  <c r="W82" i="2"/>
  <c r="V82" i="2"/>
  <c r="U82" i="2"/>
  <c r="T82" i="2"/>
  <c r="S82" i="2"/>
  <c r="R82" i="2"/>
  <c r="Q82" i="2"/>
  <c r="P82" i="2"/>
  <c r="O82" i="2"/>
  <c r="N82" i="2"/>
  <c r="M82" i="2"/>
  <c r="L82" i="2"/>
  <c r="K82" i="2"/>
  <c r="J82" i="2"/>
  <c r="I82" i="2"/>
  <c r="G81" i="2"/>
  <c r="G80" i="2"/>
  <c r="G79" i="2"/>
  <c r="G78" i="2"/>
  <c r="G77" i="2"/>
  <c r="G75" i="2"/>
  <c r="G74" i="2"/>
  <c r="G73" i="2"/>
  <c r="G72" i="2"/>
  <c r="G71" i="2"/>
  <c r="G70" i="2"/>
  <c r="G69" i="2"/>
  <c r="G68" i="2"/>
  <c r="G66" i="2"/>
  <c r="G65" i="2"/>
  <c r="G64" i="2"/>
  <c r="G63" i="2"/>
  <c r="G61" i="2"/>
  <c r="G60" i="2"/>
  <c r="G59" i="2"/>
  <c r="G58" i="2"/>
  <c r="G57" i="2"/>
  <c r="G56" i="2"/>
  <c r="G54" i="2"/>
  <c r="G53" i="2"/>
  <c r="G52" i="2"/>
  <c r="G51" i="2"/>
  <c r="G50" i="2"/>
  <c r="G49" i="2"/>
  <c r="G48" i="2"/>
  <c r="G47" i="2"/>
  <c r="G46" i="2"/>
  <c r="G45" i="2"/>
  <c r="G44" i="2"/>
  <c r="G43" i="2"/>
  <c r="G40" i="2"/>
  <c r="G38" i="2"/>
  <c r="G37" i="2"/>
  <c r="G35" i="2"/>
  <c r="G34" i="2"/>
  <c r="G33" i="2"/>
  <c r="G32" i="2"/>
  <c r="G31" i="2"/>
  <c r="G30" i="2"/>
  <c r="G27" i="2"/>
  <c r="I15" i="2"/>
  <c r="J15" i="2" s="1"/>
  <c r="K15" i="2" s="1"/>
  <c r="L15" i="2" s="1"/>
  <c r="M15" i="2" s="1"/>
  <c r="E12" i="2"/>
  <c r="K5" i="3" s="1"/>
  <c r="E11" i="2"/>
  <c r="I5" i="3" s="1"/>
  <c r="E10" i="2"/>
  <c r="G5" i="3" s="1"/>
  <c r="E9" i="2"/>
  <c r="E5" i="3" s="1"/>
  <c r="E8" i="2"/>
  <c r="C5" i="3" s="1"/>
  <c r="X142" i="1"/>
  <c r="W142" i="1"/>
  <c r="V142" i="1"/>
  <c r="U142" i="1"/>
  <c r="T142" i="1"/>
  <c r="S142" i="1"/>
  <c r="R142" i="1"/>
  <c r="Q142" i="1"/>
  <c r="P142" i="1"/>
  <c r="O142" i="1"/>
  <c r="N142" i="1"/>
  <c r="M142" i="1"/>
  <c r="G141" i="1"/>
  <c r="G140" i="1"/>
  <c r="G139" i="1"/>
  <c r="G134" i="1"/>
  <c r="G133" i="1"/>
  <c r="G132" i="1"/>
  <c r="G131" i="1"/>
  <c r="G130" i="1"/>
  <c r="G129" i="1"/>
  <c r="G128" i="1"/>
  <c r="G127" i="1"/>
  <c r="G126" i="1"/>
  <c r="G125" i="1"/>
  <c r="G124" i="1"/>
  <c r="G107" i="1"/>
  <c r="G103" i="1"/>
  <c r="G102" i="1"/>
  <c r="G101" i="1"/>
  <c r="G100" i="1"/>
  <c r="G99" i="1"/>
  <c r="G98" i="1"/>
  <c r="G97" i="1"/>
  <c r="G96" i="1"/>
  <c r="G94" i="1"/>
  <c r="G91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6" i="1"/>
  <c r="G44" i="1"/>
  <c r="G20" i="1"/>
  <c r="G17" i="1"/>
  <c r="E12" i="1"/>
  <c r="K4" i="3" s="1"/>
  <c r="E11" i="1"/>
  <c r="I4" i="3" s="1"/>
  <c r="E10" i="1"/>
  <c r="G4" i="3" s="1"/>
  <c r="E9" i="1"/>
  <c r="E4" i="3" s="1"/>
  <c r="E8" i="1"/>
  <c r="D12" i="2" l="1" a="1"/>
  <c r="D12" i="2" s="1"/>
  <c r="J5" i="3" s="1"/>
  <c r="D10" i="2"/>
  <c r="F5" i="3" s="1"/>
  <c r="E6" i="3"/>
  <c r="I6" i="3"/>
  <c r="K6" i="3"/>
  <c r="D11" i="1"/>
  <c r="H4" i="3" s="1"/>
  <c r="D8" i="1"/>
  <c r="B4" i="3" s="1"/>
  <c r="D12" i="1"/>
  <c r="J4" i="3" s="1"/>
  <c r="N15" i="1"/>
  <c r="G6" i="3"/>
  <c r="E13" i="2"/>
  <c r="G82" i="2"/>
  <c r="D10" i="1"/>
  <c r="F4" i="3" s="1"/>
  <c r="D9" i="1"/>
  <c r="D4" i="3" s="1"/>
  <c r="E13" i="1"/>
  <c r="N15" i="2"/>
  <c r="D9" i="2"/>
  <c r="D5" i="3" s="1"/>
  <c r="D8" i="2"/>
  <c r="D11" i="2"/>
  <c r="H5" i="3" s="1"/>
  <c r="C4" i="3"/>
  <c r="C6" i="3" s="1"/>
  <c r="F6" i="3" l="1"/>
  <c r="D6" i="3"/>
  <c r="H6" i="3"/>
  <c r="J6" i="3"/>
  <c r="D13" i="2"/>
  <c r="B5" i="3"/>
  <c r="B6" i="3" s="1"/>
  <c r="O15" i="1"/>
  <c r="D13" i="1"/>
  <c r="F11" i="3"/>
  <c r="O15" i="2"/>
  <c r="F10" i="3" l="1"/>
  <c r="P15" i="2"/>
  <c r="P15" i="1"/>
  <c r="Q15" i="2" l="1"/>
  <c r="Q15" i="1"/>
  <c r="R15" i="1" l="1"/>
  <c r="R15" i="2"/>
  <c r="S15" i="2" l="1"/>
  <c r="S15" i="1"/>
  <c r="T15" i="1" l="1"/>
  <c r="T15" i="2"/>
  <c r="U15" i="2" l="1"/>
  <c r="U15" i="1"/>
  <c r="V15" i="1" l="1"/>
  <c r="V15" i="2"/>
  <c r="W15" i="2" l="1"/>
  <c r="W15" i="1"/>
  <c r="C4" i="1" s="1"/>
  <c r="X15" i="1" l="1"/>
  <c r="X15" i="2"/>
  <c r="Y15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<sst xmlns="http://schemas.openxmlformats.org/spreadsheetml/2006/main" count="463" uniqueCount="225">
  <si>
    <t>Project name:</t>
  </si>
  <si>
    <t>EDUMANAGE - HỆ THỐNG QUẢN LÝ THÔNG TIN SINH VIÊN VÀ ĐIỂM DANH LỚP HỌC TRỰC TUYẾN</t>
  </si>
  <si>
    <t>Kết thúc</t>
  </si>
  <si>
    <t>Module name:</t>
  </si>
  <si>
    <t>Sprint 1</t>
  </si>
  <si>
    <t>Tăng ca</t>
  </si>
  <si>
    <t>Start date:</t>
  </si>
  <si>
    <t>Muộn</t>
  </si>
  <si>
    <t>End date:</t>
  </si>
  <si>
    <t>Chậm tiến độ</t>
  </si>
  <si>
    <t>Trước thời hạn</t>
  </si>
  <si>
    <t>SPRINT 1 REPORT</t>
  </si>
  <si>
    <t>No</t>
  </si>
  <si>
    <t>Thành viên</t>
  </si>
  <si>
    <t>Thực tế</t>
  </si>
  <si>
    <t>Ước tính</t>
  </si>
  <si>
    <t>Tên gọi tắt</t>
  </si>
  <si>
    <t>Trần Xuân Vinh</t>
  </si>
  <si>
    <t>Vinh</t>
  </si>
  <si>
    <t>Lê Huỳnh Tấn Thức</t>
  </si>
  <si>
    <t>Thức</t>
  </si>
  <si>
    <t>Phùng Văn Cường</t>
  </si>
  <si>
    <t>Cường</t>
  </si>
  <si>
    <t>Huỳnh Gia Pho</t>
  </si>
  <si>
    <t>Pho</t>
  </si>
  <si>
    <t>Phan Quốc Trụ</t>
  </si>
  <si>
    <t>Trụ</t>
  </si>
  <si>
    <t>Tổng</t>
  </si>
  <si>
    <t>Sprint</t>
  </si>
  <si>
    <t>Component</t>
  </si>
  <si>
    <t>Task name</t>
  </si>
  <si>
    <t>Responsible Member</t>
  </si>
  <si>
    <t>Họp kế hoạch Sprint</t>
  </si>
  <si>
    <t>Vinh, Cường, Thức</t>
  </si>
  <si>
    <t>Tạo Sprint Backlog 1</t>
  </si>
  <si>
    <t>Tạo tài liệu kiểm thử cho Sprint</t>
  </si>
  <si>
    <t>User interface design</t>
  </si>
  <si>
    <t>Giao diện đăng nhập</t>
  </si>
  <si>
    <t>Giao diện Dashboard</t>
  </si>
  <si>
    <t>Giao diện hồ sơ cá nhân</t>
  </si>
  <si>
    <t>Giao diện quản lý môn học</t>
  </si>
  <si>
    <t>Giao diện quản lý lớp học phần</t>
  </si>
  <si>
    <t>Giao diện đăng ký lớp học phần</t>
  </si>
  <si>
    <t>Giao diện điểm danh bằng mã QR</t>
  </si>
  <si>
    <t>Giao diện quản lý điểm danh</t>
  </si>
  <si>
    <t>Giao diện nhập điểm</t>
  </si>
  <si>
    <t>Giao diện bảng điểm</t>
  </si>
  <si>
    <t>Giao diện quản lý tài khoản</t>
  </si>
  <si>
    <t>Giao diện phân công giảng dạy</t>
  </si>
  <si>
    <t>Review all user interfaces of sprint 1</t>
  </si>
  <si>
    <t>All team</t>
  </si>
  <si>
    <t>Design test case</t>
  </si>
  <si>
    <t>Thiết kế trường kiểm thử cho đăng nhập</t>
  </si>
  <si>
    <t>Thiết kế trường kiểm thử cho thông tin cá nhân</t>
  </si>
  <si>
    <t>Thiết kế trường kiểm thử cho quản lý tài khoản</t>
  </si>
  <si>
    <t>Thiết kế trường kiểm thử cho danh mục môn học/lớp học</t>
  </si>
  <si>
    <t>Thiết kế trường kiểm thử cho phân công giảng dạy</t>
  </si>
  <si>
    <t>Thiết kế trường kiểm thử cho danh sách sinh viên</t>
  </si>
  <si>
    <t>Thiết kế trường kiểm thử cho đăng ký lớp học</t>
  </si>
  <si>
    <t>Thiết kế trường kiểm thử cho thiết lập phiên điểm danh</t>
  </si>
  <si>
    <t>Thiết kế trường kiểm thử cho thực hiện điểm danh</t>
  </si>
  <si>
    <t>Thiết kế trường kiểm thử cho điểm danh thủ công</t>
  </si>
  <si>
    <t>Thiết kế trường kiểm thử cho quản lý điểm sinh viên</t>
  </si>
  <si>
    <t>Pho, Cường</t>
  </si>
  <si>
    <t>Thiết kế trường kiểm thử cho xem điểm</t>
  </si>
  <si>
    <t>Review all test case of sprint 1</t>
  </si>
  <si>
    <t>Coding</t>
  </si>
  <si>
    <t>Thiết kế front-end cho đăng nhập</t>
  </si>
  <si>
    <t>Code back-end cho đăng nhập</t>
  </si>
  <si>
    <t>Thiết kế front-end cho thông tin cá nhân</t>
  </si>
  <si>
    <t>Code back-end cho thông tin cá nhân</t>
  </si>
  <si>
    <t>Thiết kế front-end cho quản lý tài khoản</t>
  </si>
  <si>
    <t>Code back-end cho quản lý tài khoản</t>
  </si>
  <si>
    <t>Thiết kế front-end cho danh mục môn học/lớp học</t>
  </si>
  <si>
    <t>Code back-end cho danh mục môn học/lớp học</t>
  </si>
  <si>
    <t>Thiết kế front-end cho phân công giảng dạy</t>
  </si>
  <si>
    <t>Code back-end cho phân công giảng dạy</t>
  </si>
  <si>
    <t>Thiết kế front-end cho danh sách sinh viên</t>
  </si>
  <si>
    <t>Code back-end cho danh sách sinh viên</t>
  </si>
  <si>
    <t>Thiết kế front-end cho đăng ký lớp học</t>
  </si>
  <si>
    <t>Code back-end cho đăng ký lớp học</t>
  </si>
  <si>
    <t>Thiết kế front-end cho thiết lập phiên điểm danh</t>
  </si>
  <si>
    <t>Code back-end cho thiết lập phiên điểm danh</t>
  </si>
  <si>
    <t>Thiết kế front-end cho thực hiện điểm danh</t>
  </si>
  <si>
    <t>Code back-end cho thực hiện điểm danh</t>
  </si>
  <si>
    <t>Thiết kế front-end cho điểm danh thủ công</t>
  </si>
  <si>
    <t>Code back-end cho điểm danh thủ công</t>
  </si>
  <si>
    <t>Thiết kế front-end cho quản lý điểm sinh viên</t>
  </si>
  <si>
    <t>Code back-end cho quản lý điểm sinh viên</t>
  </si>
  <si>
    <t>Thiết kế front-end cho xem điểm</t>
  </si>
  <si>
    <t>Code back-end cho xem điểm</t>
  </si>
  <si>
    <t>Integrate code</t>
  </si>
  <si>
    <t>Testing</t>
  </si>
  <si>
    <t>Kiểm tra đăng nhập</t>
  </si>
  <si>
    <t>Kiểm tra thông tin cá nhân</t>
  </si>
  <si>
    <t>Kiểm tra quản lý tài khoản</t>
  </si>
  <si>
    <t>Kiểm tra danh mục môn học/lớp học</t>
  </si>
  <si>
    <t>Kiểm tra phân công giảng dạy</t>
  </si>
  <si>
    <t>Kiểm tra danh sách sinh viên</t>
  </si>
  <si>
    <t>Kiểm tra đăng ký lớp học</t>
  </si>
  <si>
    <t>Kiểm tra thiết lập phiên điểm danh</t>
  </si>
  <si>
    <t>Kiểm tra xem điểm</t>
  </si>
  <si>
    <t>Fix Bug</t>
  </si>
  <si>
    <t>Sửa lỗi đăng nhập GUI-DN04</t>
  </si>
  <si>
    <t>Sửa lỗi thông tin cá nhân</t>
  </si>
  <si>
    <t>Sửa lỗi quản lý tài khoản</t>
  </si>
  <si>
    <t>Sửa lỗi danh mục môn học/lớp học</t>
  </si>
  <si>
    <t>Sửa lỗi phân công giảng dạy</t>
  </si>
  <si>
    <t>Sửa lỗi danh sách sinh viên</t>
  </si>
  <si>
    <t>Sửa lỗi đăng ký lớp học</t>
  </si>
  <si>
    <t>Sửa lỗi thiết lập phiên điểm danh</t>
  </si>
  <si>
    <t>Sửa lỗi thực hiện điểm danh</t>
  </si>
  <si>
    <t>Sửa lỗi điểm danh thủ công</t>
  </si>
  <si>
    <t>Sửa lỗi quản lý điểm sinh viên</t>
  </si>
  <si>
    <t>Sửa lỗi xem điểm FUNC-XD03</t>
  </si>
  <si>
    <t>Re-testing</t>
  </si>
  <si>
    <t>Kiểm tra lại đăng nhập</t>
  </si>
  <si>
    <t>Kiểm tra lại thông tin cá nhân</t>
  </si>
  <si>
    <t>Kiểm tra lại quản lý tài khoản</t>
  </si>
  <si>
    <t>Kiểm tra lại danh mục môn học/lớp học</t>
  </si>
  <si>
    <t>Kiểm tra lại phân công giảng dạy</t>
  </si>
  <si>
    <t>Kiểm tra lại danh sách sinh viên</t>
  </si>
  <si>
    <t>Kiểm tra lại đăng ký lớp học</t>
  </si>
  <si>
    <t>Kiểm tra lại thiết lập phiên điểm danh</t>
  </si>
  <si>
    <t>Kiểm tra lại thực hiện điểm danh</t>
  </si>
  <si>
    <t>Kiểm tra lại điểm danh thủ công</t>
  </si>
  <si>
    <t>Kiểm tra lại quản lý điểm sinh viên</t>
  </si>
  <si>
    <t>Kiểm tra lại xem điểm</t>
  </si>
  <si>
    <t>Release Sprint 1</t>
  </si>
  <si>
    <t>Sprint 1 review meeting</t>
  </si>
  <si>
    <t>Sprint 1 retrospective</t>
  </si>
  <si>
    <t>EDUMANAGE - HỆ THỐNG QUẢN LÝ LỚP HỌC TRỰC TUYẾN VÀ ĐIỂM DANH</t>
  </si>
  <si>
    <t>Sprint 2</t>
  </si>
  <si>
    <t>SPRINT 2 REPORT</t>
  </si>
  <si>
    <t>Tạo Sprint Backlog 2</t>
  </si>
  <si>
    <t>Giao diện lịch học</t>
  </si>
  <si>
    <t>Giao diện phòng học trực tuyến</t>
  </si>
  <si>
    <t>Giao diện xin phép vắng</t>
  </si>
  <si>
    <t>Giao diện danh sách đơn xin phép chờ duyệt</t>
  </si>
  <si>
    <t>Giao diện thống kê và xuất báo cáo</t>
  </si>
  <si>
    <t>Sơ đồ liên kết giao diện</t>
  </si>
  <si>
    <t>Review all user interfaces of sprint 2</t>
  </si>
  <si>
    <t>Thiết kế trường kiểm thử cho xem lịch học</t>
  </si>
  <si>
    <t>Thiết kế trường kiểm thử cho xuất báo cáo điểm danh</t>
  </si>
  <si>
    <t>Review all test case of sprint 2</t>
  </si>
  <si>
    <t>Thiết kế front-end cho xem lịch học</t>
  </si>
  <si>
    <t>Code back-end cho xem lịch học</t>
  </si>
  <si>
    <t>Vinh, Cường</t>
  </si>
  <si>
    <t>Thiết kế front-end cho xuất báo cáo điểm danh</t>
  </si>
  <si>
    <t>Code back-end cho xuất báo cáo điểm danh</t>
  </si>
  <si>
    <t>Kiểm tra xem lịch học</t>
  </si>
  <si>
    <t>Kiểm tra xuất báo cáo điểm danh</t>
  </si>
  <si>
    <t>Thức, Pho</t>
  </si>
  <si>
    <t>Sửa lỗi xem lịch học GUI-XLH07</t>
  </si>
  <si>
    <t>Sửa lỗi xuất báo cáo điểm danh</t>
  </si>
  <si>
    <t>Kiểm tra lại xem lịch học</t>
  </si>
  <si>
    <t>Kiểm tra lại xuất báo cáo điểm danh</t>
  </si>
  <si>
    <t>Release Sprint 2</t>
  </si>
  <si>
    <t>Sprint 2 review meeting</t>
  </si>
  <si>
    <t>Sprint 2 retrospective</t>
  </si>
  <si>
    <t>SPRINT BACKLOG REPORT</t>
  </si>
  <si>
    <t>FINAL TOTAL</t>
  </si>
  <si>
    <t>Thiết kế trường kiểm thử cho đăng xuất</t>
  </si>
  <si>
    <t>Thiết kế trường kiểm thử cho quản lý danh sách điểm danh</t>
  </si>
  <si>
    <t>Thiết kế trường kiểm thử cho xem lịch sử điểm danh bằng QR</t>
  </si>
  <si>
    <t>Thiết kế trường kiểm thử cho quản lý điểm số</t>
  </si>
  <si>
    <t>Kiểm tra đăng xuất</t>
  </si>
  <si>
    <t>Kiểm tra quản lý điểm số</t>
  </si>
  <si>
    <t>Kiểm tra Quản lý điểm sinh viên</t>
  </si>
  <si>
    <t>Kiểm tra Xem lịch sử điểm danh bằng QR</t>
  </si>
  <si>
    <t>Kiểm tra Quản lý danh sách điểm danh</t>
  </si>
  <si>
    <t>Kiểm tra Điểm danh thủ công</t>
  </si>
  <si>
    <t>Kiểm tra Thực hiện điểm danh</t>
  </si>
  <si>
    <t>Thiết kế front-end cho đăng xuất</t>
  </si>
  <si>
    <t>Code back-end cho đăng xuất</t>
  </si>
  <si>
    <t>Thiết kế front-end cho quản lý danh sách điểm danh</t>
  </si>
  <si>
    <t>Code back-end cho quản lý danh sách điểm danh</t>
  </si>
  <si>
    <t>Thiết kế front-end cho xem lịch sử điểm danh bằng QR</t>
  </si>
  <si>
    <t>Code back-end cho xem lịch sử điểm danh bằng QR</t>
  </si>
  <si>
    <t>Thiết kế front-end cho quản lý điểm số</t>
  </si>
  <si>
    <t>Code back-end cho quản lý điểm số</t>
  </si>
  <si>
    <t>Sửa lỗi đăng xuất</t>
  </si>
  <si>
    <t>Sửa lỗi quản lý danh sách điểm danh</t>
  </si>
  <si>
    <t>Sửa lỗi xem lịch sử điểm danh bằng QR</t>
  </si>
  <si>
    <t>Sửa lỗi quản lý điểm số</t>
  </si>
  <si>
    <t>Kiểm tra lại đăng xuất</t>
  </si>
  <si>
    <t>Kiểm tra lại quản lý danh sách điểm danh</t>
  </si>
  <si>
    <t>Kiểm tra lại xem lịch sử điểm danh bằng QR</t>
  </si>
  <si>
    <t>Kiểm tra lại quản lý điểm số</t>
  </si>
  <si>
    <t>Thiết kế trường kiểm thử cho mở phòng học trực tuyến</t>
  </si>
  <si>
    <t>Thiết kế trường kiểm thử cho tham gia lớp học trực tuyến</t>
  </si>
  <si>
    <t>Thiết kế trường kiểm thử cho quản lý lớp học trực tuyến</t>
  </si>
  <si>
    <t>Thiết kế trường kiểm thử cho tương tác trong lớp</t>
  </si>
  <si>
    <t>Thiết kế trường kiểm thử cho gửi yêu cầu xin phép vắng</t>
  </si>
  <si>
    <t>Thiết kế trường kiểm thử cho thống kê, báo cáo hệ thống</t>
  </si>
  <si>
    <t>Thiết kế front-end cho mở phòng học trực tuyến</t>
  </si>
  <si>
    <t>Code back-end cho mở phòng học trực tuyến</t>
  </si>
  <si>
    <t>Thiết kế front-end cho tham gia lớp học trực tuyến</t>
  </si>
  <si>
    <t>Code back-end cho tham gia lớp học trực tuyến</t>
  </si>
  <si>
    <t>Thiết kế front-end cho quản lý lớp học trực tuyến</t>
  </si>
  <si>
    <t>Code back-end cho quản lý lớp học trực tuyến</t>
  </si>
  <si>
    <t>Thiết kế front-end cho tương tác trong lớp</t>
  </si>
  <si>
    <t>Code back-end cho tương tác trong lớp</t>
  </si>
  <si>
    <t>Thiết kế front-end cho gửi yêu cầu xin phép vắng</t>
  </si>
  <si>
    <t>Code back-end cho gửi yêu cầu xin phép vắng</t>
  </si>
  <si>
    <t>Thiết kế front-end cho thống kê, báo cáo hệ thống</t>
  </si>
  <si>
    <t>Code back-end cho thống kê, báo cáo hệ thống</t>
  </si>
  <si>
    <t>Kiểm tra mở phòng học trực tuyến</t>
  </si>
  <si>
    <t>Kiểm tra tham gia lớp học trực tuyến</t>
  </si>
  <si>
    <t>Kiểm tra quản lý lớp học trực tuyến</t>
  </si>
  <si>
    <t>Kiểm tra tương tác trong lớp</t>
  </si>
  <si>
    <t>Kiểm tra gửi yêu cầu xin phép vắng</t>
  </si>
  <si>
    <t>Kiểm tra thống kê, báo cáo hệ thống</t>
  </si>
  <si>
    <t>Sửa lỗi tham gia lớp học trực tuyến</t>
  </si>
  <si>
    <t>Sửa lỗi tương tác trong lớp</t>
  </si>
  <si>
    <t>Sửa lỗi gửi yêu cầu xin phép vắng</t>
  </si>
  <si>
    <t>Sửa lỗi thống kê, báo cáo hệ thống</t>
  </si>
  <si>
    <t>Sửa lỗi mở phòng học trực tuyến FUNC-MPH02</t>
  </si>
  <si>
    <t>Sửa lỗi quản lý lớp học trực tuyến GUI-PH04</t>
  </si>
  <si>
    <t>Kiểm tra lại mở phòng học trực tuyến</t>
  </si>
  <si>
    <t>Kiểm tra lại tham gia lớp học trực tuyến</t>
  </si>
  <si>
    <t>Kiểm tra lại quản lý lớp học trực tuyến</t>
  </si>
  <si>
    <t>Kiểm tra lại tương tác trong lớp</t>
  </si>
  <si>
    <t>Kiểm tra lại gửi yêu cầu xin phép vắng</t>
  </si>
  <si>
    <t>Kiểm tra lại thống kê, báo cáo hệ thống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</si>
</sst>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"/>
  </numFmts>
  <fonts count="6" x14ac:knownFonts="1">
    <font>
      <sz val="11"/>
      <color theme="1"/>
      <name val="Calibri"/>
      <family val="2"/>
      <charset val="1"/>
    </font>
    <font>
      <b/>
      <sz val="13"/>
      <name val="Times New Roman"/>
      <family val="1"/>
    </font>
    <font>
      <sz val="13"/>
      <name val="Times New Roman"/>
      <family val="1"/>
    </font>
    <font>
      <sz val="11"/>
      <color theme="1"/>
      <name val="Times New Roman"/>
      <family val="1"/>
    </font>
    <font>
      <sz val="13"/>
      <color theme="1"/>
      <name val="Times New Roman"/>
      <family val="1"/>
    </font>
    <font>
      <b/>
      <sz val="16"/>
      <name val="Times New Roman"/>
      <family val="1"/>
    </font>
  </fonts>
  <fills count="1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CC00CC"/>
        <bgColor rgb="FFFF00FF"/>
      </patternFill>
    </fill>
    <fill>
      <patternFill patternType="solid">
        <fgColor rgb="FFFF0000"/>
        <bgColor rgb="FF993300"/>
      </patternFill>
    </fill>
    <fill>
      <patternFill patternType="solid">
        <fgColor rgb="FFFF66CC"/>
        <bgColor rgb="FFFF99CC"/>
      </patternFill>
    </fill>
    <fill>
      <patternFill patternType="solid">
        <fgColor rgb="FF30F035"/>
        <bgColor rgb="FF33CCCC"/>
      </patternFill>
    </fill>
    <fill>
      <patternFill patternType="solid">
        <fgColor rgb="FFDDEBF7"/>
        <bgColor rgb="FFD9D9D9"/>
      </patternFill>
    </fill>
    <fill>
      <patternFill patternType="solid">
        <fgColor rgb="FF9DC3E6"/>
        <bgColor rgb="FFC0C0C0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8" borderId="2" xfId="0" applyFont="1" applyFill="1" applyBorder="1" applyAlignment="1">
      <alignment horizontal="center" vertical="center" wrapText="1"/>
    </xf>
    <xf numFmtId="164" fontId="1" fillId="8" borderId="2" xfId="0" applyNumberFormat="1" applyFont="1" applyFill="1" applyBorder="1" applyAlignment="1">
      <alignment horizontal="center" vertical="center" textRotation="90"/>
    </xf>
    <xf numFmtId="0" fontId="2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2" fillId="3" borderId="1" xfId="0" applyFont="1" applyFill="1" applyBorder="1" applyAlignment="1">
      <alignment vertical="center"/>
    </xf>
    <xf numFmtId="14" fontId="2" fillId="0" borderId="0" xfId="0" applyNumberFormat="1" applyFont="1" applyAlignment="1">
      <alignment horizontal="left" vertical="center"/>
    </xf>
    <xf numFmtId="0" fontId="2" fillId="4" borderId="1" xfId="0" applyFont="1" applyFill="1" applyBorder="1" applyAlignment="1">
      <alignment vertical="center"/>
    </xf>
    <xf numFmtId="0" fontId="2" fillId="5" borderId="1" xfId="0" applyFont="1" applyFill="1" applyBorder="1" applyAlignment="1">
      <alignment vertical="center"/>
    </xf>
    <xf numFmtId="0" fontId="2" fillId="6" borderId="1" xfId="0" applyFont="1" applyFill="1" applyBorder="1" applyAlignment="1">
      <alignment vertical="center"/>
    </xf>
    <xf numFmtId="0" fontId="1" fillId="8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1" fontId="2" fillId="0" borderId="1" xfId="0" applyNumberFormat="1" applyFont="1" applyBorder="1" applyAlignment="1">
      <alignment vertical="center"/>
    </xf>
    <xf numFmtId="1" fontId="1" fillId="7" borderId="1" xfId="0" applyNumberFormat="1" applyFont="1" applyFill="1" applyBorder="1" applyAlignment="1">
      <alignment vertical="center"/>
    </xf>
    <xf numFmtId="0" fontId="2" fillId="7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1" fontId="2" fillId="0" borderId="2" xfId="0" applyNumberFormat="1" applyFont="1" applyBorder="1" applyAlignment="1">
      <alignment vertical="center"/>
    </xf>
    <xf numFmtId="0" fontId="1" fillId="8" borderId="2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 vertical="center"/>
    </xf>
    <xf numFmtId="0" fontId="1" fillId="7" borderId="2" xfId="0" applyFont="1" applyFill="1" applyBorder="1" applyAlignment="1">
      <alignment horizontal="center" vertical="center"/>
    </xf>
    <xf numFmtId="1" fontId="1" fillId="7" borderId="2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9" borderId="2" xfId="0" applyFont="1" applyFill="1" applyBorder="1" applyAlignment="1">
      <alignment vertical="center"/>
    </xf>
    <xf numFmtId="0" fontId="2" fillId="10" borderId="2" xfId="0" applyFont="1" applyFill="1" applyBorder="1" applyAlignment="1">
      <alignment vertical="center"/>
    </xf>
    <xf numFmtId="0" fontId="2" fillId="11" borderId="2" xfId="0" applyFont="1" applyFill="1" applyBorder="1" applyAlignment="1">
      <alignment vertical="center"/>
    </xf>
    <xf numFmtId="0" fontId="2" fillId="12" borderId="2" xfId="0" applyFont="1" applyFill="1" applyBorder="1" applyAlignment="1">
      <alignment vertical="center"/>
    </xf>
    <xf numFmtId="0" fontId="4" fillId="0" borderId="2" xfId="0" applyFont="1" applyBorder="1" applyAlignment="1">
      <alignment horizontal="right" vertical="center" wrapText="1"/>
    </xf>
    <xf numFmtId="0" fontId="4" fillId="0" borderId="2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0" fontId="4" fillId="0" borderId="0" xfId="0" applyFont="1"/>
    <xf numFmtId="0" fontId="4" fillId="0" borderId="2" xfId="0" applyFont="1" applyBorder="1"/>
    <xf numFmtId="0" fontId="4" fillId="9" borderId="2" xfId="0" applyFont="1" applyFill="1" applyBorder="1"/>
    <xf numFmtId="0" fontId="4" fillId="0" borderId="2" xfId="0" applyFont="1" applyBorder="1" applyAlignment="1">
      <alignment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center" vertical="center" wrapText="1"/>
    </xf>
    <xf numFmtId="0" fontId="4" fillId="0" borderId="3" xfId="0" applyFont="1" applyBorder="1" applyAlignment="1">
      <alignment vertical="center" wrapText="1"/>
    </xf>
    <xf numFmtId="0" fontId="4" fillId="0" borderId="4" xfId="0" applyFont="1" applyBorder="1" applyAlignment="1">
      <alignment vertical="center" wrapText="1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1" fillId="7" borderId="1" xfId="0" applyFont="1" applyFill="1" applyBorder="1" applyAlignment="1">
      <alignment horizontal="center" vertical="center"/>
    </xf>
    <xf numFmtId="0" fontId="1" fillId="8" borderId="2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1" fontId="2" fillId="0" borderId="3" xfId="0" applyNumberFormat="1" applyFont="1" applyBorder="1" applyAlignment="1">
      <alignment horizontal="center" vertical="center"/>
    </xf>
    <xf numFmtId="1" fontId="2" fillId="0" borderId="4" xfId="0" applyNumberFormat="1" applyFont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1" fillId="8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30F035"/>
      <rgbColor rgb="FF0000FF"/>
      <rgbColor rgb="FFFFFF00"/>
      <rgbColor rgb="FFCC00CC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78787"/>
      <rgbColor rgb="FF9999FF"/>
      <rgbColor rgb="FFBE4B48"/>
      <rgbColor rgb="FFFFFFCC"/>
      <rgbColor rgb="FFDDEBF7"/>
      <rgbColor rgb="FF660066"/>
      <rgbColor rgb="FFFF66CC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DC3E6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4A7EBB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1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1'!$E$142</c:f>
              <c:strCache>
                <c:ptCount val="1"/>
                <c:pt idx="0">
                  <c:v>Thực tế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1'!$I$15:$X$15</c:f>
              <c:numCache>
                <c:formatCode>dd/mm</c:formatCode>
                <c:ptCount val="16"/>
                <c:pt idx="0">
                  <c:v>46250</c:v>
                </c:pt>
                <c:pt idx="1">
                  <c:v>46251</c:v>
                </c:pt>
                <c:pt idx="2">
                  <c:v>46252</c:v>
                </c:pt>
                <c:pt idx="3">
                  <c:v>46253</c:v>
                </c:pt>
                <c:pt idx="4">
                  <c:v>46254</c:v>
                </c:pt>
                <c:pt idx="5">
                  <c:v>46255</c:v>
                </c:pt>
                <c:pt idx="6">
                  <c:v>46256</c:v>
                </c:pt>
                <c:pt idx="7">
                  <c:v>46257</c:v>
                </c:pt>
                <c:pt idx="8">
                  <c:v>46258</c:v>
                </c:pt>
                <c:pt idx="9">
                  <c:v>46259</c:v>
                </c:pt>
                <c:pt idx="10">
                  <c:v>46260</c:v>
                </c:pt>
                <c:pt idx="11">
                  <c:v>46261</c:v>
                </c:pt>
                <c:pt idx="12">
                  <c:v>46262</c:v>
                </c:pt>
                <c:pt idx="13">
                  <c:v>46263</c:v>
                </c:pt>
                <c:pt idx="14">
                  <c:v>46264</c:v>
                </c:pt>
                <c:pt idx="15">
                  <c:v>46265</c:v>
                </c:pt>
              </c:numCache>
            </c:numRef>
          </c:cat>
          <c:val>
            <c:numRef>
              <c:f>'Sprint 1'!$I$142:$X$142</c:f>
              <c:numCache>
                <c:formatCode>General</c:formatCode>
                <c:ptCount val="16"/>
                <c:pt idx="0">
                  <c:v>286.5</c:v>
                </c:pt>
                <c:pt idx="1">
                  <c:v>276.5</c:v>
                </c:pt>
                <c:pt idx="2">
                  <c:v>274</c:v>
                </c:pt>
                <c:pt idx="3">
                  <c:v>245</c:v>
                </c:pt>
                <c:pt idx="4">
                  <c:v>232</c:v>
                </c:pt>
                <c:pt idx="5">
                  <c:v>217</c:v>
                </c:pt>
                <c:pt idx="6">
                  <c:v>186</c:v>
                </c:pt>
                <c:pt idx="7">
                  <c:v>171</c:v>
                </c:pt>
                <c:pt idx="8">
                  <c:v>158</c:v>
                </c:pt>
                <c:pt idx="9">
                  <c:v>145</c:v>
                </c:pt>
                <c:pt idx="10">
                  <c:v>133</c:v>
                </c:pt>
                <c:pt idx="11">
                  <c:v>109</c:v>
                </c:pt>
                <c:pt idx="12">
                  <c:v>95</c:v>
                </c:pt>
                <c:pt idx="13">
                  <c:v>72</c:v>
                </c:pt>
                <c:pt idx="14">
                  <c:v>57</c:v>
                </c:pt>
                <c:pt idx="15">
                  <c:v>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873D-4C3E-A2E2-6969BF98482E}"/>
            </c:ext>
          </c:extLst>
        </c:ser>
        <c:ser>
          <c:idx val="1"/>
          <c:order val="1"/>
          <c:tx>
            <c:strRef>
              <c:f>'Sprint 1'!$E$143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1'!$I$15:$X$15</c:f>
              <c:numCache>
                <c:formatCode>dd/mm</c:formatCode>
                <c:ptCount val="16"/>
                <c:pt idx="0">
                  <c:v>46250</c:v>
                </c:pt>
                <c:pt idx="1">
                  <c:v>46251</c:v>
                </c:pt>
                <c:pt idx="2">
                  <c:v>46252</c:v>
                </c:pt>
                <c:pt idx="3">
                  <c:v>46253</c:v>
                </c:pt>
                <c:pt idx="4">
                  <c:v>46254</c:v>
                </c:pt>
                <c:pt idx="5">
                  <c:v>46255</c:v>
                </c:pt>
                <c:pt idx="6">
                  <c:v>46256</c:v>
                </c:pt>
                <c:pt idx="7">
                  <c:v>46257</c:v>
                </c:pt>
                <c:pt idx="8">
                  <c:v>46258</c:v>
                </c:pt>
                <c:pt idx="9">
                  <c:v>46259</c:v>
                </c:pt>
                <c:pt idx="10">
                  <c:v>46260</c:v>
                </c:pt>
                <c:pt idx="11">
                  <c:v>46261</c:v>
                </c:pt>
                <c:pt idx="12">
                  <c:v>46262</c:v>
                </c:pt>
                <c:pt idx="13">
                  <c:v>46263</c:v>
                </c:pt>
                <c:pt idx="14">
                  <c:v>46264</c:v>
                </c:pt>
                <c:pt idx="15">
                  <c:v>46265</c:v>
                </c:pt>
              </c:numCache>
            </c:numRef>
          </c:cat>
          <c:val>
            <c:numRef>
              <c:f>'Sprint 1'!$I$143:$X$143</c:f>
              <c:numCache>
                <c:formatCode>General</c:formatCode>
                <c:ptCount val="16"/>
                <c:pt idx="0">
                  <c:v>286.5</c:v>
                </c:pt>
                <c:pt idx="1">
                  <c:v>276.5</c:v>
                </c:pt>
                <c:pt idx="2">
                  <c:v>267</c:v>
                </c:pt>
                <c:pt idx="3">
                  <c:v>245</c:v>
                </c:pt>
                <c:pt idx="4">
                  <c:v>232</c:v>
                </c:pt>
                <c:pt idx="5">
                  <c:v>217</c:v>
                </c:pt>
                <c:pt idx="6">
                  <c:v>186</c:v>
                </c:pt>
                <c:pt idx="7">
                  <c:v>171</c:v>
                </c:pt>
                <c:pt idx="8">
                  <c:v>158</c:v>
                </c:pt>
                <c:pt idx="9">
                  <c:v>145</c:v>
                </c:pt>
                <c:pt idx="10">
                  <c:v>133</c:v>
                </c:pt>
                <c:pt idx="11">
                  <c:v>109</c:v>
                </c:pt>
                <c:pt idx="12">
                  <c:v>95</c:v>
                </c:pt>
                <c:pt idx="13">
                  <c:v>72</c:v>
                </c:pt>
                <c:pt idx="14">
                  <c:v>54</c:v>
                </c:pt>
                <c:pt idx="1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873D-4C3E-A2E2-6969BF9848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80348919"/>
        <c:axId val="15722592"/>
      </c:lineChart>
      <c:dateAx>
        <c:axId val="80348919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Ngày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5722592"/>
        <c:crosses val="autoZero"/>
        <c:auto val="1"/>
        <c:lblOffset val="100"/>
        <c:baseTimeUnit val="days"/>
      </c:dateAx>
      <c:valAx>
        <c:axId val="1572259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Giờ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80348919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Sprint 2 Burndown Chart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'Sprint 2'!$E$82</c:f>
              <c:strCache>
                <c:ptCount val="1"/>
                <c:pt idx="0">
                  <c:v>Thực tế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2'!$I$15:$X$15</c:f>
              <c:numCache>
                <c:formatCode>dd/mm</c:formatCode>
                <c:ptCount val="16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</c:numCache>
            </c:numRef>
          </c:cat>
          <c:val>
            <c:numRef>
              <c:f>'Sprint 2'!$I$82:$X$82</c:f>
              <c:numCache>
                <c:formatCode>General</c:formatCode>
                <c:ptCount val="16"/>
                <c:pt idx="0">
                  <c:v>201</c:v>
                </c:pt>
                <c:pt idx="1">
                  <c:v>189</c:v>
                </c:pt>
                <c:pt idx="2">
                  <c:v>193</c:v>
                </c:pt>
                <c:pt idx="3">
                  <c:v>177</c:v>
                </c:pt>
                <c:pt idx="4">
                  <c:v>157</c:v>
                </c:pt>
                <c:pt idx="5">
                  <c:v>143</c:v>
                </c:pt>
                <c:pt idx="6">
                  <c:v>130</c:v>
                </c:pt>
                <c:pt idx="7">
                  <c:v>116</c:v>
                </c:pt>
                <c:pt idx="8">
                  <c:v>110</c:v>
                </c:pt>
                <c:pt idx="9">
                  <c:v>92</c:v>
                </c:pt>
                <c:pt idx="10">
                  <c:v>83</c:v>
                </c:pt>
                <c:pt idx="11">
                  <c:v>79</c:v>
                </c:pt>
                <c:pt idx="12">
                  <c:v>60</c:v>
                </c:pt>
                <c:pt idx="13">
                  <c:v>43</c:v>
                </c:pt>
                <c:pt idx="14">
                  <c:v>33</c:v>
                </c:pt>
                <c:pt idx="15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597-4EB8-9271-B0936C032522}"/>
            </c:ext>
          </c:extLst>
        </c:ser>
        <c:ser>
          <c:idx val="1"/>
          <c:order val="1"/>
          <c:tx>
            <c:strRef>
              <c:f>'Sprint 2'!$E$83</c:f>
              <c:strCache>
                <c:ptCount val="1"/>
                <c:pt idx="0">
                  <c:v>Ước tính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'Sprint 2'!$I$15:$X$15</c:f>
              <c:numCache>
                <c:formatCode>dd/mm</c:formatCode>
                <c:ptCount val="16"/>
                <c:pt idx="0">
                  <c:v>46265</c:v>
                </c:pt>
                <c:pt idx="1">
                  <c:v>46266</c:v>
                </c:pt>
                <c:pt idx="2">
                  <c:v>46267</c:v>
                </c:pt>
                <c:pt idx="3">
                  <c:v>46268</c:v>
                </c:pt>
                <c:pt idx="4">
                  <c:v>46269</c:v>
                </c:pt>
                <c:pt idx="5">
                  <c:v>46270</c:v>
                </c:pt>
                <c:pt idx="6">
                  <c:v>46271</c:v>
                </c:pt>
                <c:pt idx="7">
                  <c:v>46272</c:v>
                </c:pt>
                <c:pt idx="8">
                  <c:v>46273</c:v>
                </c:pt>
                <c:pt idx="9">
                  <c:v>46274</c:v>
                </c:pt>
                <c:pt idx="10">
                  <c:v>46275</c:v>
                </c:pt>
                <c:pt idx="11">
                  <c:v>46276</c:v>
                </c:pt>
                <c:pt idx="12">
                  <c:v>46277</c:v>
                </c:pt>
                <c:pt idx="13">
                  <c:v>46278</c:v>
                </c:pt>
                <c:pt idx="14">
                  <c:v>46279</c:v>
                </c:pt>
                <c:pt idx="15">
                  <c:v>46280</c:v>
                </c:pt>
              </c:numCache>
            </c:numRef>
          </c:cat>
          <c:val>
            <c:numRef>
              <c:f>'Sprint 2'!$I$83:$X$83</c:f>
              <c:numCache>
                <c:formatCode>0</c:formatCode>
                <c:ptCount val="16"/>
                <c:pt idx="0">
                  <c:v>201</c:v>
                </c:pt>
                <c:pt idx="1">
                  <c:v>189</c:v>
                </c:pt>
                <c:pt idx="2">
                  <c:v>177</c:v>
                </c:pt>
                <c:pt idx="3">
                  <c:v>177</c:v>
                </c:pt>
                <c:pt idx="4">
                  <c:v>157</c:v>
                </c:pt>
                <c:pt idx="5">
                  <c:v>143</c:v>
                </c:pt>
                <c:pt idx="6">
                  <c:v>130</c:v>
                </c:pt>
                <c:pt idx="7">
                  <c:v>116</c:v>
                </c:pt>
                <c:pt idx="8">
                  <c:v>110</c:v>
                </c:pt>
                <c:pt idx="9">
                  <c:v>92</c:v>
                </c:pt>
                <c:pt idx="10">
                  <c:v>83</c:v>
                </c:pt>
                <c:pt idx="11">
                  <c:v>79</c:v>
                </c:pt>
                <c:pt idx="12">
                  <c:v>60</c:v>
                </c:pt>
                <c:pt idx="13">
                  <c:v>43</c:v>
                </c:pt>
                <c:pt idx="14">
                  <c:v>33</c:v>
                </c:pt>
                <c:pt idx="15">
                  <c:v>15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597-4EB8-9271-B0936C0325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66683937"/>
        <c:axId val="24199303"/>
      </c:lineChart>
      <c:dateAx>
        <c:axId val="666839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Ngày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dd/mm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4199303"/>
        <c:crosses val="autoZero"/>
        <c:auto val="1"/>
        <c:lblOffset val="100"/>
        <c:baseTimeUnit val="days"/>
      </c:dateAx>
      <c:valAx>
        <c:axId val="2419930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Giờ còn lại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66683937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144</xdr:row>
      <xdr:rowOff>176039</xdr:rowOff>
    </xdr:from>
    <xdr:to>
      <xdr:col>10</xdr:col>
      <xdr:colOff>404091</xdr:colOff>
      <xdr:row>164</xdr:row>
      <xdr:rowOff>23090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84</xdr:row>
      <xdr:rowOff>175680</xdr:rowOff>
    </xdr:from>
    <xdr:to>
      <xdr:col>12</xdr:col>
      <xdr:colOff>23090</xdr:colOff>
      <xdr:row>106</xdr:row>
      <xdr:rowOff>11546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F144"/>
  <sheetViews>
    <sheetView tabSelected="1" topLeftCell="A15" zoomScale="55" zoomScaleNormal="55" workbookViewId="0">
      <selection activeCell="AC20" sqref="AC20"/>
    </sheetView>
  </sheetViews>
  <sheetFormatPr defaultColWidth="8.81640625" defaultRowHeight="16.5" x14ac:dyDescent="0.35"/>
  <cols>
    <col min="1" max="1" width="10" style="9" customWidth="1"/>
    <col min="2" max="2" width="24" style="9" customWidth="1"/>
    <col min="3" max="3" width="58" style="9" customWidth="1"/>
    <col min="4" max="4" width="17.6328125" style="9" customWidth="1"/>
    <col min="5" max="5" width="14" style="9" customWidth="1"/>
    <col min="6" max="6" width="16" style="9" customWidth="1"/>
    <col min="7" max="8" width="9" style="9" customWidth="1"/>
    <col min="9" max="32" width="6.54296875" style="9" customWidth="1"/>
    <col min="33" max="16384" width="8.81640625" style="9"/>
  </cols>
  <sheetData>
    <row r="1" spans="1:32" ht="17" customHeight="1" x14ac:dyDescent="0.35">
      <c r="A1" s="4" t="s">
        <v>0</v>
      </c>
      <c r="B1" s="5"/>
      <c r="C1" s="6" t="s">
        <v>1</v>
      </c>
      <c r="D1" s="5"/>
      <c r="E1" s="7"/>
      <c r="F1" s="8" t="s">
        <v>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  <c r="AE1" s="5"/>
      <c r="AF1" s="5"/>
    </row>
    <row r="2" spans="1:32" ht="17.25" customHeight="1" x14ac:dyDescent="0.35">
      <c r="A2" s="4" t="s">
        <v>3</v>
      </c>
      <c r="B2" s="5"/>
      <c r="C2" s="6" t="s">
        <v>4</v>
      </c>
      <c r="D2" s="5"/>
      <c r="E2" s="10"/>
      <c r="F2" s="8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</row>
    <row r="3" spans="1:32" ht="17.25" customHeight="1" x14ac:dyDescent="0.35">
      <c r="A3" s="4" t="s">
        <v>6</v>
      </c>
      <c r="B3" s="5"/>
      <c r="C3" s="11">
        <v>46250</v>
      </c>
      <c r="D3" s="5"/>
      <c r="E3" s="12"/>
      <c r="F3" s="8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</row>
    <row r="4" spans="1:32" ht="17.25" customHeight="1" x14ac:dyDescent="0.35">
      <c r="A4" s="4" t="s">
        <v>8</v>
      </c>
      <c r="B4" s="5"/>
      <c r="C4" s="11">
        <f>W15</f>
        <v>46264</v>
      </c>
      <c r="D4" s="5"/>
      <c r="E4" s="13"/>
      <c r="F4" s="8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</row>
    <row r="5" spans="1:32" ht="17.25" customHeight="1" x14ac:dyDescent="0.35">
      <c r="A5" s="5"/>
      <c r="B5" s="5"/>
      <c r="C5" s="5"/>
      <c r="D5" s="5"/>
      <c r="E5" s="14"/>
      <c r="F5" s="8" t="s">
        <v>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  <c r="AE5" s="5"/>
      <c r="AF5" s="5"/>
    </row>
    <row r="6" spans="1:32" ht="17.25" customHeight="1" x14ac:dyDescent="0.35">
      <c r="A6" s="5"/>
      <c r="B6" s="51" t="s">
        <v>11</v>
      </c>
      <c r="C6" s="51"/>
      <c r="D6" s="51"/>
      <c r="E6" s="5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  <c r="AE6" s="5"/>
      <c r="AF6" s="5"/>
    </row>
    <row r="7" spans="1:32" ht="17.25" customHeight="1" x14ac:dyDescent="0.35">
      <c r="A7" s="5"/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  <c r="AE7" s="5"/>
      <c r="AF7" s="5"/>
    </row>
    <row r="8" spans="1:32" ht="17.25" customHeight="1" x14ac:dyDescent="0.35">
      <c r="A8" s="5"/>
      <c r="B8" s="16">
        <v>1</v>
      </c>
      <c r="C8" s="17" t="s">
        <v>17</v>
      </c>
      <c r="D8" s="18">
        <f>SUMPRODUCT(ISNUMBER(SEARCH($F8,$E$16:$E$141))*$G$16:$G$141/(LEN($E$16:$E$141)-LEN(SUBSTITUTE($E$16:$E$141,",",""))+1))+SUMIF($E$16:$E$141,"All team",$G$16:$G$141)/COUNTA($F$8:$F$12)</f>
        <v>62.633333333333326</v>
      </c>
      <c r="E8" s="18">
        <f>SUMPRODUCT(ISNUMBER(SEARCH($F8,$E$16:$E$141))*$H$16:$H$141/(LEN($E$16:$E$141)-LEN(SUBSTITUTE($E$16:$E$141,",",""))+1))+SUMIF($E$16:$E$141,"All team",$H$16:$H$141)/COUNTA($F$8:$F$12)</f>
        <v>62.633333333333326</v>
      </c>
      <c r="F8" s="17" t="s">
        <v>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  <c r="AE8" s="5"/>
      <c r="AF8" s="5"/>
    </row>
    <row r="9" spans="1:32" ht="17.25" customHeight="1" x14ac:dyDescent="0.35">
      <c r="A9" s="5"/>
      <c r="B9" s="16">
        <v>2</v>
      </c>
      <c r="C9" s="17" t="s">
        <v>19</v>
      </c>
      <c r="D9" s="18">
        <f>SUMPRODUCT(ISNUMBER(SEARCH($F9,$E$16:$E$141))*$G$16:$G$141/(LEN($E$16:$E$141)-LEN(SUBSTITUTE($E$16:$E$141,",",""))+1))+SUMIF($E$16:$E$141,"All team",$G$16:$G$141)/COUNTA($F$8:$F$12)</f>
        <v>56.133333333333326</v>
      </c>
      <c r="E9" s="18">
        <f>SUMPRODUCT(ISNUMBER(SEARCH($F9,$E$16:$E$141))*$H$16:$H$141/(LEN($E$16:$E$141)-LEN(SUBSTITUTE($E$16:$E$141,",",""))+1))+SUMIF($E$16:$E$141,"All team",$H$16:$H$141)/COUNTA($F$8:$F$12)</f>
        <v>56.133333333333326</v>
      </c>
      <c r="F9" s="17" t="s">
        <v>20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  <c r="AE9" s="5"/>
      <c r="AF9" s="5"/>
    </row>
    <row r="10" spans="1:32" ht="17.25" customHeight="1" x14ac:dyDescent="0.35">
      <c r="A10" s="5"/>
      <c r="B10" s="16">
        <v>3</v>
      </c>
      <c r="C10" s="17" t="s">
        <v>21</v>
      </c>
      <c r="D10" s="18">
        <f>SUMPRODUCT(ISNUMBER(SEARCH($F10,$E$16:$E$141))*$G$16:$G$141/(LEN($E$16:$E$141)-LEN(SUBSTITUTE($E$16:$E$141,",",""))+1))+SUMIF($E$16:$E$141,"All team",$G$16:$G$141)/COUNTA($F$8:$F$12)</f>
        <v>131.13333333333333</v>
      </c>
      <c r="E10" s="18">
        <f>SUMPRODUCT(ISNUMBER(SEARCH($F10,$E$16:$E$141))*$H$16:$H$141/(LEN($E$16:$E$141)-LEN(SUBSTITUTE($E$16:$E$141,",",""))+1))+SUMIF($E$16:$E$141,"All team",$H$16:$H$141)/COUNTA($F$8:$F$12)</f>
        <v>131.63333333333333</v>
      </c>
      <c r="F10" s="17" t="s">
        <v>22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5"/>
    </row>
    <row r="11" spans="1:32" ht="17.25" customHeight="1" x14ac:dyDescent="0.35">
      <c r="A11" s="5"/>
      <c r="B11" s="16">
        <v>4</v>
      </c>
      <c r="C11" s="17" t="s">
        <v>23</v>
      </c>
      <c r="D11" s="18">
        <f>SUMPRODUCT(ISNUMBER(SEARCH($F11,$E$16:$E$141))*$G$16:$G$141/(LEN($E$16:$E$141)-LEN(SUBSTITUTE($E$16:$E$141,",",""))+1))+SUMIF($E$16:$E$141,"All team",$G$16:$G$141)/COUNTA($F$8:$F$12)</f>
        <v>44.3</v>
      </c>
      <c r="E11" s="18">
        <f>SUMPRODUCT(ISNUMBER(SEARCH($F11,$E$16:$E$141))*$H$16:$H$141/(LEN($E$16:$E$141)-LEN(SUBSTITUTE($E$16:$E$141,",",""))+1))+SUMIF($E$16:$E$141,"All team",$H$16:$H$141)/COUNTA($F$8:$F$12)</f>
        <v>38.799999999999997</v>
      </c>
      <c r="F11" s="17" t="s">
        <v>24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5"/>
    </row>
    <row r="12" spans="1:32" ht="17.25" customHeight="1" x14ac:dyDescent="0.35">
      <c r="A12" s="5"/>
      <c r="B12" s="16">
        <v>5</v>
      </c>
      <c r="C12" s="17" t="s">
        <v>25</v>
      </c>
      <c r="D12" s="18">
        <f>SUMPRODUCT(ISNUMBER(SEARCH($F12,$E$16:$E$141))*$G$16:$G$141/(LEN($E$16:$E$141)-LEN(SUBSTITUTE($E$16:$E$141,",",""))+1))+SUMIF($E$16:$E$141,"All team",$G$16:$G$141)/COUNTA($F$8:$F$12)</f>
        <v>16.3</v>
      </c>
      <c r="E12" s="18">
        <f>SUMPRODUCT(ISNUMBER(SEARCH($F12,$E$16:$E$141))*$H$16:$H$141/(LEN($E$16:$E$141)-LEN(SUBSTITUTE($E$16:$E$141,",",""))+1))+SUMIF($E$16:$E$141,"All team",$H$16:$H$141)/COUNTA($F$8:$F$12)</f>
        <v>9.3000000000000007</v>
      </c>
      <c r="F12" s="17" t="s">
        <v>26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5"/>
    </row>
    <row r="13" spans="1:32" ht="17.25" customHeight="1" x14ac:dyDescent="0.35">
      <c r="A13" s="5"/>
      <c r="B13" s="51" t="s">
        <v>27</v>
      </c>
      <c r="C13" s="51"/>
      <c r="D13" s="19">
        <f>SUM(D8:D12)</f>
        <v>310.5</v>
      </c>
      <c r="E13" s="19">
        <f>SUM(E8:E12)</f>
        <v>298.5</v>
      </c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5"/>
    </row>
    <row r="14" spans="1:32" ht="17.2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</row>
    <row r="15" spans="1:32" ht="62.25" customHeight="1" x14ac:dyDescent="0.35">
      <c r="A15" s="1" t="s">
        <v>28</v>
      </c>
      <c r="B15" s="1" t="s">
        <v>29</v>
      </c>
      <c r="C15" s="52" t="s">
        <v>30</v>
      </c>
      <c r="D15" s="52"/>
      <c r="E15" s="52" t="s">
        <v>31</v>
      </c>
      <c r="F15" s="52"/>
      <c r="G15" s="1" t="s">
        <v>14</v>
      </c>
      <c r="H15" s="1" t="s">
        <v>15</v>
      </c>
      <c r="I15" s="2">
        <f>$C$3</f>
        <v>46250</v>
      </c>
      <c r="J15" s="2">
        <f t="shared" ref="J15:X15" si="0">I15+1</f>
        <v>46251</v>
      </c>
      <c r="K15" s="2">
        <f t="shared" si="0"/>
        <v>46252</v>
      </c>
      <c r="L15" s="2">
        <f t="shared" si="0"/>
        <v>46253</v>
      </c>
      <c r="M15" s="2">
        <f t="shared" si="0"/>
        <v>46254</v>
      </c>
      <c r="N15" s="2">
        <f t="shared" si="0"/>
        <v>46255</v>
      </c>
      <c r="O15" s="2">
        <f t="shared" si="0"/>
        <v>46256</v>
      </c>
      <c r="P15" s="2">
        <f t="shared" si="0"/>
        <v>46257</v>
      </c>
      <c r="Q15" s="2">
        <f t="shared" si="0"/>
        <v>46258</v>
      </c>
      <c r="R15" s="2">
        <f t="shared" si="0"/>
        <v>46259</v>
      </c>
      <c r="S15" s="2">
        <f t="shared" si="0"/>
        <v>46260</v>
      </c>
      <c r="T15" s="2">
        <f t="shared" si="0"/>
        <v>46261</v>
      </c>
      <c r="U15" s="2">
        <f t="shared" si="0"/>
        <v>46262</v>
      </c>
      <c r="V15" s="2">
        <f t="shared" si="0"/>
        <v>46263</v>
      </c>
      <c r="W15" s="2">
        <f t="shared" si="0"/>
        <v>46264</v>
      </c>
      <c r="X15" s="2">
        <f t="shared" si="0"/>
        <v>46265</v>
      </c>
    </row>
    <row r="16" spans="1:32" ht="17.25" customHeight="1" x14ac:dyDescent="0.35">
      <c r="A16" s="45" t="s">
        <v>4</v>
      </c>
      <c r="B16" s="46" t="s">
        <v>32</v>
      </c>
      <c r="C16" s="46"/>
      <c r="D16" s="46"/>
      <c r="E16" s="45" t="s">
        <v>33</v>
      </c>
      <c r="F16" s="45"/>
      <c r="G16" s="8">
        <f>4</f>
        <v>4</v>
      </c>
      <c r="H16" s="8">
        <v>4</v>
      </c>
      <c r="I16" s="8">
        <v>4</v>
      </c>
      <c r="J16" s="21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</row>
    <row r="17" spans="1:24" ht="17.25" customHeight="1" x14ac:dyDescent="0.35">
      <c r="A17" s="45"/>
      <c r="B17" s="46" t="s">
        <v>34</v>
      </c>
      <c r="C17" s="46"/>
      <c r="D17" s="46"/>
      <c r="E17" s="45" t="s">
        <v>22</v>
      </c>
      <c r="F17" s="45"/>
      <c r="G17" s="8">
        <f t="shared" ref="G17:G58" si="1">H17</f>
        <v>4</v>
      </c>
      <c r="H17" s="8">
        <v>4</v>
      </c>
      <c r="I17" s="8">
        <v>4</v>
      </c>
      <c r="J17" s="29">
        <v>0</v>
      </c>
      <c r="K17" s="30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</row>
    <row r="18" spans="1:24" ht="17.25" customHeight="1" x14ac:dyDescent="0.35">
      <c r="A18" s="45"/>
      <c r="B18" s="46" t="s">
        <v>35</v>
      </c>
      <c r="C18" s="46"/>
      <c r="D18" s="46"/>
      <c r="E18" s="45" t="s">
        <v>22</v>
      </c>
      <c r="F18" s="45"/>
      <c r="G18" s="8">
        <f>H18</f>
        <v>2</v>
      </c>
      <c r="H18" s="8">
        <v>2</v>
      </c>
      <c r="I18" s="8">
        <v>2</v>
      </c>
      <c r="J18" s="29">
        <v>0</v>
      </c>
      <c r="K18" s="8">
        <v>0</v>
      </c>
      <c r="L18" s="30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</row>
    <row r="19" spans="1:24" ht="17.25" customHeight="1" x14ac:dyDescent="0.35">
      <c r="A19" s="45"/>
      <c r="B19" s="53" t="s">
        <v>36</v>
      </c>
      <c r="C19" s="46" t="s">
        <v>37</v>
      </c>
      <c r="D19" s="46"/>
      <c r="E19" s="45" t="s">
        <v>24</v>
      </c>
      <c r="F19" s="45"/>
      <c r="G19" s="8">
        <f>H19</f>
        <v>0.5</v>
      </c>
      <c r="H19" s="8">
        <v>0.5</v>
      </c>
      <c r="I19" s="8">
        <v>0.5</v>
      </c>
      <c r="J19" s="8">
        <v>0.5</v>
      </c>
      <c r="K19" s="29">
        <v>0</v>
      </c>
      <c r="L19" s="30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</row>
    <row r="20" spans="1:24" ht="17.25" customHeight="1" x14ac:dyDescent="0.35">
      <c r="A20" s="45"/>
      <c r="B20" s="45"/>
      <c r="C20" s="46" t="s">
        <v>38</v>
      </c>
      <c r="D20" s="46"/>
      <c r="E20" s="45" t="s">
        <v>24</v>
      </c>
      <c r="F20" s="45"/>
      <c r="G20" s="8">
        <f t="shared" si="1"/>
        <v>4</v>
      </c>
      <c r="H20" s="8">
        <v>4</v>
      </c>
      <c r="I20" s="8">
        <v>4</v>
      </c>
      <c r="J20" s="8">
        <v>4</v>
      </c>
      <c r="K20" s="29">
        <v>0</v>
      </c>
      <c r="L20" s="30">
        <v>0</v>
      </c>
      <c r="M20" s="8">
        <v>0</v>
      </c>
      <c r="N20" s="8">
        <v>0</v>
      </c>
      <c r="O20" s="8">
        <v>0</v>
      </c>
      <c r="P20" s="8">
        <v>0</v>
      </c>
      <c r="Q20" s="8">
        <v>0</v>
      </c>
      <c r="R20" s="8">
        <v>0</v>
      </c>
      <c r="S20" s="8">
        <v>0</v>
      </c>
      <c r="T20" s="8">
        <v>0</v>
      </c>
      <c r="U20" s="8">
        <v>0</v>
      </c>
      <c r="V20" s="8">
        <v>0</v>
      </c>
      <c r="W20" s="8">
        <v>0</v>
      </c>
      <c r="X20" s="8">
        <v>0</v>
      </c>
    </row>
    <row r="21" spans="1:24" ht="17.25" customHeight="1" x14ac:dyDescent="0.35">
      <c r="A21" s="45"/>
      <c r="B21" s="45"/>
      <c r="C21" s="46" t="s">
        <v>39</v>
      </c>
      <c r="D21" s="46"/>
      <c r="E21" s="45" t="s">
        <v>26</v>
      </c>
      <c r="F21" s="45"/>
      <c r="G21" s="8">
        <v>1.5</v>
      </c>
      <c r="H21" s="8">
        <v>0.5</v>
      </c>
      <c r="I21" s="8">
        <v>0.5</v>
      </c>
      <c r="J21" s="8">
        <v>0.5</v>
      </c>
      <c r="K21" s="29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</row>
    <row r="22" spans="1:24" ht="17.25" customHeight="1" x14ac:dyDescent="0.35">
      <c r="A22" s="45"/>
      <c r="B22" s="45"/>
      <c r="C22" s="47"/>
      <c r="D22" s="48"/>
      <c r="E22" s="47"/>
      <c r="F22" s="48"/>
      <c r="G22" s="8"/>
      <c r="H22" s="8"/>
      <c r="I22" s="8"/>
      <c r="J22" s="8"/>
      <c r="K22" s="32">
        <v>1</v>
      </c>
      <c r="L22" s="30"/>
      <c r="M22" s="8"/>
      <c r="N22" s="31"/>
      <c r="O22" s="8"/>
      <c r="P22" s="8"/>
      <c r="Q22" s="8"/>
      <c r="R22" s="8"/>
      <c r="S22" s="8"/>
      <c r="T22" s="8"/>
      <c r="U22" s="8"/>
      <c r="V22" s="8"/>
      <c r="W22" s="8"/>
      <c r="X22" s="8"/>
    </row>
    <row r="23" spans="1:24" ht="17.25" customHeight="1" x14ac:dyDescent="0.35">
      <c r="A23" s="45"/>
      <c r="B23" s="45"/>
      <c r="C23" s="46" t="s">
        <v>40</v>
      </c>
      <c r="D23" s="46"/>
      <c r="E23" s="45" t="s">
        <v>26</v>
      </c>
      <c r="F23" s="45"/>
      <c r="G23" s="8">
        <v>1.5</v>
      </c>
      <c r="H23" s="8">
        <v>0.5</v>
      </c>
      <c r="I23" s="8">
        <v>0.5</v>
      </c>
      <c r="J23" s="8">
        <v>0.5</v>
      </c>
      <c r="K23" s="29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</row>
    <row r="24" spans="1:24" ht="17.25" customHeight="1" x14ac:dyDescent="0.35">
      <c r="A24" s="45"/>
      <c r="B24" s="45"/>
      <c r="C24" s="47"/>
      <c r="D24" s="48"/>
      <c r="E24" s="47"/>
      <c r="F24" s="48"/>
      <c r="G24" s="8"/>
      <c r="H24" s="8"/>
      <c r="I24" s="8"/>
      <c r="J24" s="8"/>
      <c r="K24" s="32">
        <v>1</v>
      </c>
      <c r="L24" s="30"/>
      <c r="M24" s="8"/>
      <c r="N24" s="31"/>
      <c r="O24" s="8"/>
      <c r="P24" s="8"/>
      <c r="Q24" s="8"/>
      <c r="R24" s="8"/>
      <c r="S24" s="8"/>
      <c r="T24" s="8"/>
      <c r="U24" s="8"/>
      <c r="V24" s="8"/>
      <c r="W24" s="8"/>
      <c r="X24" s="8"/>
    </row>
    <row r="25" spans="1:24" ht="17.25" customHeight="1" x14ac:dyDescent="0.35">
      <c r="A25" s="45"/>
      <c r="B25" s="45"/>
      <c r="C25" s="46" t="s">
        <v>41</v>
      </c>
      <c r="D25" s="46"/>
      <c r="E25" s="45" t="s">
        <v>26</v>
      </c>
      <c r="F25" s="45"/>
      <c r="G25" s="8">
        <v>1.5</v>
      </c>
      <c r="H25" s="8">
        <v>0.5</v>
      </c>
      <c r="I25" s="8">
        <v>0.5</v>
      </c>
      <c r="J25" s="8">
        <v>0.5</v>
      </c>
      <c r="K25" s="29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</row>
    <row r="26" spans="1:24" ht="17.25" customHeight="1" x14ac:dyDescent="0.35">
      <c r="A26" s="45"/>
      <c r="B26" s="45"/>
      <c r="C26" s="47"/>
      <c r="D26" s="48"/>
      <c r="E26" s="47"/>
      <c r="F26" s="48"/>
      <c r="G26" s="8"/>
      <c r="H26" s="8"/>
      <c r="I26" s="8"/>
      <c r="J26" s="8"/>
      <c r="K26" s="32">
        <v>1</v>
      </c>
      <c r="L26" s="30"/>
      <c r="M26" s="8"/>
      <c r="N26" s="31"/>
      <c r="O26" s="8"/>
      <c r="P26" s="8"/>
      <c r="Q26" s="8"/>
      <c r="R26" s="8"/>
      <c r="S26" s="8"/>
      <c r="T26" s="8"/>
      <c r="U26" s="8"/>
      <c r="V26" s="8"/>
      <c r="W26" s="8"/>
      <c r="X26" s="8"/>
    </row>
    <row r="27" spans="1:24" ht="17.25" customHeight="1" x14ac:dyDescent="0.35">
      <c r="A27" s="45"/>
      <c r="B27" s="45"/>
      <c r="C27" s="46" t="s">
        <v>42</v>
      </c>
      <c r="D27" s="46"/>
      <c r="E27" s="45" t="s">
        <v>26</v>
      </c>
      <c r="F27" s="45"/>
      <c r="G27" s="8">
        <v>1.5</v>
      </c>
      <c r="H27" s="8">
        <v>0.5</v>
      </c>
      <c r="I27" s="8">
        <v>0.5</v>
      </c>
      <c r="J27" s="8">
        <v>0.5</v>
      </c>
      <c r="K27" s="29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</row>
    <row r="28" spans="1:24" ht="17.25" customHeight="1" x14ac:dyDescent="0.35">
      <c r="A28" s="45"/>
      <c r="B28" s="45"/>
      <c r="C28" s="47"/>
      <c r="D28" s="48"/>
      <c r="E28" s="47"/>
      <c r="F28" s="48"/>
      <c r="G28" s="8"/>
      <c r="H28" s="8"/>
      <c r="I28" s="8"/>
      <c r="J28" s="8"/>
      <c r="K28" s="32">
        <v>1</v>
      </c>
      <c r="L28" s="30"/>
      <c r="M28" s="8"/>
      <c r="N28" s="31"/>
      <c r="O28" s="8"/>
      <c r="P28" s="8"/>
      <c r="Q28" s="8"/>
      <c r="R28" s="8"/>
      <c r="S28" s="8"/>
      <c r="T28" s="8"/>
      <c r="U28" s="8"/>
      <c r="V28" s="8"/>
      <c r="W28" s="8"/>
      <c r="X28" s="8"/>
    </row>
    <row r="29" spans="1:24" ht="17.25" customHeight="1" x14ac:dyDescent="0.35">
      <c r="A29" s="45"/>
      <c r="B29" s="45"/>
      <c r="C29" s="46" t="s">
        <v>43</v>
      </c>
      <c r="D29" s="46"/>
      <c r="E29" s="45" t="s">
        <v>26</v>
      </c>
      <c r="F29" s="45"/>
      <c r="G29" s="8">
        <v>1.5</v>
      </c>
      <c r="H29" s="8">
        <v>0.5</v>
      </c>
      <c r="I29" s="8">
        <v>0.5</v>
      </c>
      <c r="J29" s="8">
        <v>0.5</v>
      </c>
      <c r="K29" s="29">
        <v>0</v>
      </c>
      <c r="L29" s="8">
        <v>0</v>
      </c>
      <c r="M29" s="8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</row>
    <row r="30" spans="1:24" ht="17.25" customHeight="1" x14ac:dyDescent="0.35">
      <c r="A30" s="45"/>
      <c r="B30" s="45"/>
      <c r="C30" s="47"/>
      <c r="D30" s="48"/>
      <c r="E30" s="47"/>
      <c r="F30" s="48"/>
      <c r="G30" s="8"/>
      <c r="H30" s="8"/>
      <c r="I30" s="8"/>
      <c r="J30" s="8"/>
      <c r="K30" s="32">
        <v>1</v>
      </c>
      <c r="L30" s="30"/>
      <c r="M30" s="8"/>
      <c r="N30" s="31"/>
      <c r="O30" s="8"/>
      <c r="P30" s="8"/>
      <c r="Q30" s="8"/>
      <c r="R30" s="8"/>
      <c r="S30" s="8"/>
      <c r="T30" s="8"/>
      <c r="U30" s="8"/>
      <c r="V30" s="8"/>
      <c r="W30" s="8"/>
      <c r="X30" s="8"/>
    </row>
    <row r="31" spans="1:24" ht="17.25" customHeight="1" x14ac:dyDescent="0.35">
      <c r="A31" s="45"/>
      <c r="B31" s="45"/>
      <c r="C31" s="46" t="s">
        <v>44</v>
      </c>
      <c r="D31" s="46"/>
      <c r="E31" s="45" t="s">
        <v>26</v>
      </c>
      <c r="F31" s="45"/>
      <c r="G31" s="8">
        <v>1.5</v>
      </c>
      <c r="H31" s="8">
        <v>0.5</v>
      </c>
      <c r="I31" s="8">
        <v>0.5</v>
      </c>
      <c r="J31" s="8">
        <v>0.5</v>
      </c>
      <c r="K31" s="29">
        <v>0</v>
      </c>
      <c r="L31" s="8">
        <v>0</v>
      </c>
      <c r="M31" s="8">
        <v>0</v>
      </c>
      <c r="N31" s="8">
        <v>0</v>
      </c>
      <c r="O31" s="8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</row>
    <row r="32" spans="1:24" ht="17.25" customHeight="1" x14ac:dyDescent="0.35">
      <c r="A32" s="45"/>
      <c r="B32" s="45"/>
      <c r="C32" s="47"/>
      <c r="D32" s="48"/>
      <c r="E32" s="47"/>
      <c r="F32" s="48"/>
      <c r="G32" s="8"/>
      <c r="H32" s="8"/>
      <c r="I32" s="8"/>
      <c r="J32" s="8"/>
      <c r="K32" s="32">
        <v>1</v>
      </c>
      <c r="L32" s="30"/>
      <c r="M32" s="8"/>
      <c r="N32" s="31"/>
      <c r="O32" s="8"/>
      <c r="P32" s="8"/>
      <c r="Q32" s="8"/>
      <c r="R32" s="8"/>
      <c r="S32" s="8"/>
      <c r="T32" s="8"/>
      <c r="U32" s="8"/>
      <c r="V32" s="8"/>
      <c r="W32" s="8"/>
      <c r="X32" s="8"/>
    </row>
    <row r="33" spans="1:24" ht="17.25" customHeight="1" x14ac:dyDescent="0.35">
      <c r="A33" s="45"/>
      <c r="B33" s="45"/>
      <c r="C33" s="46" t="s">
        <v>45</v>
      </c>
      <c r="D33" s="46"/>
      <c r="E33" s="45" t="s">
        <v>26</v>
      </c>
      <c r="F33" s="45"/>
      <c r="G33" s="8">
        <v>1.5</v>
      </c>
      <c r="H33" s="8">
        <v>0.5</v>
      </c>
      <c r="I33" s="8">
        <v>0.5</v>
      </c>
      <c r="J33" s="8">
        <v>0.5</v>
      </c>
      <c r="K33" s="29">
        <v>0</v>
      </c>
      <c r="L33" s="8">
        <v>0</v>
      </c>
      <c r="M33" s="8">
        <v>0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0</v>
      </c>
      <c r="U33" s="8">
        <v>0</v>
      </c>
      <c r="V33" s="8">
        <v>0</v>
      </c>
      <c r="W33" s="8">
        <v>0</v>
      </c>
      <c r="X33" s="8">
        <v>0</v>
      </c>
    </row>
    <row r="34" spans="1:24" ht="17.25" customHeight="1" x14ac:dyDescent="0.35">
      <c r="A34" s="45"/>
      <c r="B34" s="45"/>
      <c r="C34" s="47"/>
      <c r="D34" s="48"/>
      <c r="E34" s="47"/>
      <c r="F34" s="48"/>
      <c r="G34" s="8"/>
      <c r="H34" s="8"/>
      <c r="I34" s="8"/>
      <c r="J34" s="8"/>
      <c r="K34" s="32">
        <v>1</v>
      </c>
      <c r="L34" s="30"/>
      <c r="M34" s="8"/>
      <c r="N34" s="8"/>
      <c r="P34" s="8"/>
      <c r="Q34" s="8"/>
      <c r="R34" s="8"/>
      <c r="S34" s="8"/>
      <c r="T34" s="8"/>
      <c r="U34" s="8"/>
      <c r="V34" s="8"/>
      <c r="W34" s="8"/>
      <c r="X34" s="8"/>
    </row>
    <row r="35" spans="1:24" ht="17.25" customHeight="1" x14ac:dyDescent="0.35">
      <c r="A35" s="45"/>
      <c r="B35" s="45"/>
      <c r="C35" s="46" t="s">
        <v>46</v>
      </c>
      <c r="D35" s="46"/>
      <c r="E35" s="45" t="s">
        <v>22</v>
      </c>
      <c r="F35" s="45"/>
      <c r="G35" s="8">
        <v>0.5</v>
      </c>
      <c r="H35" s="8">
        <v>0.5</v>
      </c>
      <c r="I35" s="8">
        <v>0.5</v>
      </c>
      <c r="J35" s="8">
        <v>0.5</v>
      </c>
      <c r="K35" s="29">
        <v>0</v>
      </c>
      <c r="L35" s="8">
        <v>0</v>
      </c>
      <c r="M35" s="8">
        <v>0</v>
      </c>
      <c r="N35" s="8">
        <v>0</v>
      </c>
      <c r="O35" s="30">
        <v>0</v>
      </c>
      <c r="P35" s="8">
        <v>0</v>
      </c>
      <c r="Q35" s="8">
        <v>0</v>
      </c>
      <c r="R35" s="8">
        <v>0</v>
      </c>
      <c r="S35" s="8">
        <v>0</v>
      </c>
      <c r="T35" s="8">
        <v>0</v>
      </c>
      <c r="U35" s="8">
        <v>0</v>
      </c>
      <c r="V35" s="8">
        <v>0</v>
      </c>
      <c r="W35" s="8">
        <v>0</v>
      </c>
      <c r="X35" s="8">
        <v>0</v>
      </c>
    </row>
    <row r="36" spans="1:24" ht="17.25" customHeight="1" x14ac:dyDescent="0.35">
      <c r="A36" s="45"/>
      <c r="B36" s="45"/>
      <c r="C36" s="46" t="s">
        <v>47</v>
      </c>
      <c r="D36" s="46"/>
      <c r="E36" s="45" t="s">
        <v>22</v>
      </c>
      <c r="F36" s="45"/>
      <c r="G36" s="8">
        <v>0.5</v>
      </c>
      <c r="H36" s="8">
        <v>0.5</v>
      </c>
      <c r="I36" s="8">
        <v>0.5</v>
      </c>
      <c r="J36" s="8">
        <v>0.5</v>
      </c>
      <c r="K36" s="29">
        <v>0</v>
      </c>
      <c r="L36" s="8">
        <v>0</v>
      </c>
      <c r="M36" s="8">
        <v>0</v>
      </c>
      <c r="N36" s="8">
        <v>0</v>
      </c>
      <c r="O36" s="30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</row>
    <row r="37" spans="1:24" ht="17.25" customHeight="1" x14ac:dyDescent="0.35">
      <c r="A37" s="45"/>
      <c r="B37" s="45"/>
      <c r="C37" s="46" t="s">
        <v>48</v>
      </c>
      <c r="D37" s="46"/>
      <c r="E37" s="45" t="s">
        <v>22</v>
      </c>
      <c r="F37" s="45"/>
      <c r="G37" s="8">
        <v>0.5</v>
      </c>
      <c r="H37" s="8">
        <v>0.5</v>
      </c>
      <c r="I37" s="8">
        <v>0.5</v>
      </c>
      <c r="J37" s="8">
        <v>0.5</v>
      </c>
      <c r="K37" s="29">
        <v>0</v>
      </c>
      <c r="L37" s="8">
        <v>0</v>
      </c>
      <c r="M37" s="8">
        <v>0</v>
      </c>
      <c r="N37" s="8">
        <v>0</v>
      </c>
      <c r="O37" s="30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</row>
    <row r="38" spans="1:24" ht="17.25" customHeight="1" x14ac:dyDescent="0.35">
      <c r="A38" s="45"/>
      <c r="B38" s="53"/>
      <c r="C38" s="46" t="s">
        <v>49</v>
      </c>
      <c r="D38" s="46"/>
      <c r="E38" s="45" t="s">
        <v>50</v>
      </c>
      <c r="F38" s="45"/>
      <c r="G38" s="8">
        <f>H38</f>
        <v>14</v>
      </c>
      <c r="H38" s="8">
        <v>14</v>
      </c>
      <c r="I38" s="8">
        <v>14</v>
      </c>
      <c r="J38" s="30">
        <v>14</v>
      </c>
      <c r="K38" s="8">
        <v>14</v>
      </c>
      <c r="L38" s="8">
        <v>14</v>
      </c>
      <c r="M38" s="8">
        <v>14</v>
      </c>
      <c r="N38" s="8">
        <v>14</v>
      </c>
      <c r="O38" s="21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0</v>
      </c>
      <c r="V38" s="8">
        <v>0</v>
      </c>
      <c r="W38" s="8">
        <v>0</v>
      </c>
      <c r="X38" s="8">
        <v>0</v>
      </c>
    </row>
    <row r="39" spans="1:24" ht="17.25" customHeight="1" x14ac:dyDescent="0.35">
      <c r="A39" s="45"/>
      <c r="B39" s="53" t="s">
        <v>51</v>
      </c>
      <c r="C39" s="46" t="s">
        <v>52</v>
      </c>
      <c r="D39" s="46"/>
      <c r="E39" s="45" t="s">
        <v>22</v>
      </c>
      <c r="F39" s="45"/>
      <c r="G39" s="8">
        <f>H39</f>
        <v>2</v>
      </c>
      <c r="H39" s="8">
        <v>2</v>
      </c>
      <c r="I39" s="8">
        <v>2</v>
      </c>
      <c r="J39" s="8">
        <v>2</v>
      </c>
      <c r="K39" s="8">
        <v>2</v>
      </c>
      <c r="L39" s="29">
        <v>0</v>
      </c>
      <c r="M39" s="8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</row>
    <row r="40" spans="1:24" ht="17.25" customHeight="1" x14ac:dyDescent="0.35">
      <c r="A40" s="45"/>
      <c r="B40" s="53"/>
      <c r="C40" s="46" t="s">
        <v>162</v>
      </c>
      <c r="D40" s="46"/>
      <c r="E40" s="47" t="s">
        <v>22</v>
      </c>
      <c r="F40" s="48"/>
      <c r="G40" s="8">
        <v>1</v>
      </c>
      <c r="H40" s="8">
        <v>1</v>
      </c>
      <c r="I40" s="8">
        <v>1</v>
      </c>
      <c r="J40" s="8">
        <v>1</v>
      </c>
      <c r="K40" s="8">
        <v>1</v>
      </c>
      <c r="L40" s="29">
        <v>0</v>
      </c>
      <c r="M40" s="8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</row>
    <row r="41" spans="1:24" ht="17.25" customHeight="1" x14ac:dyDescent="0.35">
      <c r="A41" s="45"/>
      <c r="B41" s="45"/>
      <c r="C41" s="46" t="s">
        <v>53</v>
      </c>
      <c r="D41" s="46"/>
      <c r="E41" s="45" t="s">
        <v>22</v>
      </c>
      <c r="F41" s="45"/>
      <c r="G41" s="8">
        <f>H41</f>
        <v>2</v>
      </c>
      <c r="H41" s="8">
        <v>2</v>
      </c>
      <c r="I41" s="8">
        <v>2</v>
      </c>
      <c r="J41" s="8">
        <v>2</v>
      </c>
      <c r="K41" s="8">
        <v>2</v>
      </c>
      <c r="L41" s="8">
        <v>2</v>
      </c>
      <c r="M41" s="29">
        <v>0</v>
      </c>
      <c r="N41" s="8">
        <v>0</v>
      </c>
      <c r="O41" s="8">
        <v>0</v>
      </c>
      <c r="P41" s="8">
        <v>0</v>
      </c>
      <c r="Q41" s="8">
        <v>0</v>
      </c>
      <c r="R41" s="8">
        <v>0</v>
      </c>
      <c r="S41" s="8">
        <v>0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</row>
    <row r="42" spans="1:24" ht="17.25" customHeight="1" x14ac:dyDescent="0.35">
      <c r="A42" s="45"/>
      <c r="B42" s="45"/>
      <c r="C42" s="46" t="s">
        <v>54</v>
      </c>
      <c r="D42" s="46"/>
      <c r="E42" s="45" t="s">
        <v>22</v>
      </c>
      <c r="F42" s="45"/>
      <c r="G42" s="8">
        <f>H42</f>
        <v>2</v>
      </c>
      <c r="H42" s="8">
        <v>2</v>
      </c>
      <c r="I42" s="8">
        <v>2</v>
      </c>
      <c r="J42" s="8">
        <v>2</v>
      </c>
      <c r="K42" s="8">
        <v>2</v>
      </c>
      <c r="L42" s="8">
        <v>2</v>
      </c>
      <c r="M42" s="8">
        <v>2</v>
      </c>
      <c r="N42" s="29">
        <v>0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0</v>
      </c>
      <c r="W42" s="8">
        <v>0</v>
      </c>
      <c r="X42" s="8">
        <v>0</v>
      </c>
    </row>
    <row r="43" spans="1:24" ht="17.25" customHeight="1" x14ac:dyDescent="0.35">
      <c r="A43" s="45"/>
      <c r="B43" s="45"/>
      <c r="C43" s="46" t="s">
        <v>55</v>
      </c>
      <c r="D43" s="46"/>
      <c r="E43" s="45" t="s">
        <v>22</v>
      </c>
      <c r="F43" s="45"/>
      <c r="G43" s="8">
        <f>H43</f>
        <v>3</v>
      </c>
      <c r="H43" s="8">
        <v>3</v>
      </c>
      <c r="I43" s="8">
        <v>3</v>
      </c>
      <c r="J43" s="8">
        <v>3</v>
      </c>
      <c r="K43" s="8">
        <v>3</v>
      </c>
      <c r="L43" s="8">
        <v>3</v>
      </c>
      <c r="M43" s="8">
        <v>3</v>
      </c>
      <c r="N43" s="8">
        <v>3</v>
      </c>
      <c r="O43" s="29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0</v>
      </c>
      <c r="W43" s="8">
        <v>0</v>
      </c>
      <c r="X43" s="8">
        <v>0</v>
      </c>
    </row>
    <row r="44" spans="1:24" ht="17.25" customHeight="1" x14ac:dyDescent="0.35">
      <c r="A44" s="45"/>
      <c r="B44" s="45"/>
      <c r="C44" s="46" t="s">
        <v>56</v>
      </c>
      <c r="D44" s="46"/>
      <c r="E44" s="45" t="s">
        <v>22</v>
      </c>
      <c r="F44" s="45"/>
      <c r="G44" s="8">
        <f t="shared" si="1"/>
        <v>2</v>
      </c>
      <c r="H44" s="8">
        <v>2</v>
      </c>
      <c r="I44" s="8">
        <v>2</v>
      </c>
      <c r="J44" s="8">
        <v>2</v>
      </c>
      <c r="K44" s="8">
        <v>2</v>
      </c>
      <c r="L44" s="8">
        <v>2</v>
      </c>
      <c r="M44" s="8">
        <v>2</v>
      </c>
      <c r="N44" s="8">
        <v>2</v>
      </c>
      <c r="O44" s="8">
        <v>2</v>
      </c>
      <c r="P44" s="29">
        <v>0</v>
      </c>
      <c r="Q44" s="8">
        <v>0</v>
      </c>
      <c r="R44" s="8">
        <v>0</v>
      </c>
      <c r="S44" s="8">
        <v>0</v>
      </c>
      <c r="T44" s="8">
        <v>0</v>
      </c>
      <c r="U44" s="8">
        <v>0</v>
      </c>
      <c r="V44" s="8">
        <v>0</v>
      </c>
      <c r="W44" s="8">
        <v>0</v>
      </c>
      <c r="X44" s="8">
        <v>0</v>
      </c>
    </row>
    <row r="45" spans="1:24" ht="17.25" customHeight="1" x14ac:dyDescent="0.35">
      <c r="A45" s="45"/>
      <c r="B45" s="45"/>
      <c r="C45" s="46" t="s">
        <v>57</v>
      </c>
      <c r="D45" s="46"/>
      <c r="E45" s="45" t="s">
        <v>22</v>
      </c>
      <c r="F45" s="45"/>
      <c r="G45" s="8">
        <f t="shared" ref="G45:G53" si="2">H45</f>
        <v>2</v>
      </c>
      <c r="H45" s="8">
        <v>2</v>
      </c>
      <c r="I45" s="8">
        <v>2</v>
      </c>
      <c r="J45" s="8">
        <v>2</v>
      </c>
      <c r="K45" s="8">
        <v>2</v>
      </c>
      <c r="L45" s="8">
        <v>2</v>
      </c>
      <c r="M45" s="8">
        <v>2</v>
      </c>
      <c r="N45" s="8">
        <v>2</v>
      </c>
      <c r="O45" s="8">
        <v>2</v>
      </c>
      <c r="P45" s="8">
        <v>2</v>
      </c>
      <c r="Q45" s="29">
        <v>0</v>
      </c>
      <c r="R45" s="8">
        <v>0</v>
      </c>
      <c r="S45" s="8">
        <v>0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</row>
    <row r="46" spans="1:24" ht="17.25" customHeight="1" x14ac:dyDescent="0.35">
      <c r="A46" s="45"/>
      <c r="B46" s="45"/>
      <c r="C46" s="46" t="s">
        <v>58</v>
      </c>
      <c r="D46" s="46"/>
      <c r="E46" s="45" t="s">
        <v>22</v>
      </c>
      <c r="F46" s="45"/>
      <c r="G46" s="8">
        <f t="shared" si="2"/>
        <v>2</v>
      </c>
      <c r="H46" s="8">
        <v>2</v>
      </c>
      <c r="I46" s="8">
        <v>2</v>
      </c>
      <c r="J46" s="8">
        <v>2</v>
      </c>
      <c r="K46" s="8">
        <v>2</v>
      </c>
      <c r="L46" s="8">
        <v>2</v>
      </c>
      <c r="M46" s="8">
        <v>2</v>
      </c>
      <c r="N46" s="8">
        <v>2</v>
      </c>
      <c r="O46" s="8">
        <v>2</v>
      </c>
      <c r="P46" s="8">
        <v>2</v>
      </c>
      <c r="Q46" s="8">
        <v>2</v>
      </c>
      <c r="R46" s="29">
        <v>0</v>
      </c>
      <c r="S46" s="8">
        <v>0</v>
      </c>
      <c r="T46" s="8">
        <v>0</v>
      </c>
      <c r="U46" s="8">
        <v>0</v>
      </c>
      <c r="V46" s="8">
        <v>0</v>
      </c>
      <c r="W46" s="8">
        <v>0</v>
      </c>
      <c r="X46" s="8">
        <v>0</v>
      </c>
    </row>
    <row r="47" spans="1:24" ht="17.25" customHeight="1" x14ac:dyDescent="0.35">
      <c r="A47" s="45"/>
      <c r="B47" s="45"/>
      <c r="C47" s="46" t="s">
        <v>59</v>
      </c>
      <c r="D47" s="46"/>
      <c r="E47" s="45" t="s">
        <v>22</v>
      </c>
      <c r="F47" s="45"/>
      <c r="G47" s="8">
        <f t="shared" si="2"/>
        <v>2</v>
      </c>
      <c r="H47" s="8">
        <v>2</v>
      </c>
      <c r="I47" s="8">
        <v>2</v>
      </c>
      <c r="J47" s="8">
        <v>2</v>
      </c>
      <c r="K47" s="8">
        <v>2</v>
      </c>
      <c r="L47" s="8">
        <v>2</v>
      </c>
      <c r="M47" s="8">
        <v>2</v>
      </c>
      <c r="N47" s="8">
        <v>2</v>
      </c>
      <c r="O47" s="8">
        <v>2</v>
      </c>
      <c r="P47" s="8">
        <v>2</v>
      </c>
      <c r="Q47" s="8">
        <v>2</v>
      </c>
      <c r="R47" s="8">
        <v>2</v>
      </c>
      <c r="S47" s="29">
        <v>0</v>
      </c>
      <c r="T47" s="8">
        <v>0</v>
      </c>
      <c r="U47" s="8">
        <v>0</v>
      </c>
      <c r="V47" s="8">
        <v>0</v>
      </c>
      <c r="W47" s="8">
        <v>0</v>
      </c>
      <c r="X47" s="8">
        <v>0</v>
      </c>
    </row>
    <row r="48" spans="1:24" ht="17.25" customHeight="1" x14ac:dyDescent="0.35">
      <c r="A48" s="45"/>
      <c r="B48" s="45"/>
      <c r="C48" s="46" t="s">
        <v>60</v>
      </c>
      <c r="D48" s="46"/>
      <c r="E48" s="45" t="s">
        <v>22</v>
      </c>
      <c r="F48" s="45"/>
      <c r="G48" s="8">
        <f t="shared" si="2"/>
        <v>4</v>
      </c>
      <c r="H48" s="8">
        <v>4</v>
      </c>
      <c r="I48" s="8">
        <v>4</v>
      </c>
      <c r="J48" s="8">
        <v>4</v>
      </c>
      <c r="K48" s="8">
        <v>4</v>
      </c>
      <c r="L48" s="8">
        <v>4</v>
      </c>
      <c r="M48" s="8">
        <v>4</v>
      </c>
      <c r="N48" s="8">
        <v>4</v>
      </c>
      <c r="O48" s="8">
        <v>4</v>
      </c>
      <c r="P48" s="8">
        <v>4</v>
      </c>
      <c r="Q48" s="8">
        <v>4</v>
      </c>
      <c r="R48" s="8">
        <v>4</v>
      </c>
      <c r="S48" s="8">
        <v>4</v>
      </c>
      <c r="T48" s="29">
        <v>0</v>
      </c>
      <c r="U48" s="8">
        <v>0</v>
      </c>
      <c r="V48" s="8">
        <v>0</v>
      </c>
      <c r="W48" s="8">
        <v>0</v>
      </c>
      <c r="X48" s="8">
        <v>0</v>
      </c>
    </row>
    <row r="49" spans="1:24" ht="17.25" customHeight="1" x14ac:dyDescent="0.35">
      <c r="A49" s="45"/>
      <c r="B49" s="45"/>
      <c r="C49" s="46" t="s">
        <v>61</v>
      </c>
      <c r="D49" s="46"/>
      <c r="E49" s="45" t="s">
        <v>22</v>
      </c>
      <c r="F49" s="45"/>
      <c r="G49" s="8">
        <f t="shared" si="2"/>
        <v>2</v>
      </c>
      <c r="H49" s="8">
        <v>2</v>
      </c>
      <c r="I49" s="8">
        <v>2</v>
      </c>
      <c r="J49" s="8">
        <v>2</v>
      </c>
      <c r="K49" s="8">
        <v>2</v>
      </c>
      <c r="L49" s="8">
        <v>2</v>
      </c>
      <c r="M49" s="8">
        <v>2</v>
      </c>
      <c r="N49" s="8">
        <v>2</v>
      </c>
      <c r="O49" s="8">
        <v>2</v>
      </c>
      <c r="P49" s="8">
        <v>2</v>
      </c>
      <c r="Q49" s="8">
        <v>2</v>
      </c>
      <c r="R49" s="8">
        <v>2</v>
      </c>
      <c r="S49" s="8">
        <v>2</v>
      </c>
      <c r="T49" s="8">
        <v>2</v>
      </c>
      <c r="U49" s="29">
        <v>0</v>
      </c>
      <c r="V49" s="8">
        <v>0</v>
      </c>
      <c r="W49" s="8">
        <v>0</v>
      </c>
      <c r="X49" s="8">
        <v>0</v>
      </c>
    </row>
    <row r="50" spans="1:24" ht="17.25" customHeight="1" x14ac:dyDescent="0.35">
      <c r="A50" s="45"/>
      <c r="B50" s="45"/>
      <c r="C50" s="46" t="s">
        <v>163</v>
      </c>
      <c r="D50" s="46"/>
      <c r="E50" s="45" t="s">
        <v>22</v>
      </c>
      <c r="F50" s="45"/>
      <c r="G50" s="8">
        <f t="shared" si="2"/>
        <v>2</v>
      </c>
      <c r="H50" s="8">
        <v>2</v>
      </c>
      <c r="I50" s="8">
        <v>2</v>
      </c>
      <c r="J50" s="8">
        <v>2</v>
      </c>
      <c r="K50" s="8">
        <v>2</v>
      </c>
      <c r="L50" s="8">
        <v>2</v>
      </c>
      <c r="M50" s="8">
        <v>2</v>
      </c>
      <c r="N50" s="8">
        <v>2</v>
      </c>
      <c r="O50" s="8">
        <v>2</v>
      </c>
      <c r="P50" s="8">
        <v>2</v>
      </c>
      <c r="Q50" s="8">
        <v>2</v>
      </c>
      <c r="R50" s="8">
        <v>2</v>
      </c>
      <c r="S50" s="8">
        <v>2</v>
      </c>
      <c r="T50" s="8">
        <v>2</v>
      </c>
      <c r="U50" s="8">
        <v>2</v>
      </c>
      <c r="V50" s="29">
        <v>0</v>
      </c>
      <c r="W50" s="8">
        <v>0</v>
      </c>
      <c r="X50" s="8">
        <v>0</v>
      </c>
    </row>
    <row r="51" spans="1:24" ht="17.25" customHeight="1" x14ac:dyDescent="0.35">
      <c r="A51" s="45"/>
      <c r="B51" s="45"/>
      <c r="C51" s="49" t="s">
        <v>164</v>
      </c>
      <c r="D51" s="50"/>
      <c r="E51" s="47" t="s">
        <v>22</v>
      </c>
      <c r="F51" s="48"/>
      <c r="G51" s="8">
        <f t="shared" si="2"/>
        <v>1</v>
      </c>
      <c r="H51" s="8">
        <v>1</v>
      </c>
      <c r="I51" s="8">
        <v>1</v>
      </c>
      <c r="J51" s="8">
        <v>1</v>
      </c>
      <c r="K51" s="8">
        <v>1</v>
      </c>
      <c r="L51" s="8">
        <v>1</v>
      </c>
      <c r="M51" s="8">
        <v>1</v>
      </c>
      <c r="N51" s="8">
        <v>1</v>
      </c>
      <c r="O51" s="8">
        <v>1</v>
      </c>
      <c r="P51" s="8">
        <v>1</v>
      </c>
      <c r="Q51" s="8">
        <v>1</v>
      </c>
      <c r="R51" s="8">
        <v>1</v>
      </c>
      <c r="S51" s="8">
        <v>1</v>
      </c>
      <c r="T51" s="8">
        <v>1</v>
      </c>
      <c r="U51" s="8">
        <v>1</v>
      </c>
      <c r="V51" s="29">
        <v>0</v>
      </c>
      <c r="W51" s="8">
        <v>0</v>
      </c>
      <c r="X51" s="8">
        <v>0</v>
      </c>
    </row>
    <row r="52" spans="1:24" ht="17.25" customHeight="1" x14ac:dyDescent="0.35">
      <c r="A52" s="45"/>
      <c r="B52" s="45"/>
      <c r="C52" s="46" t="s">
        <v>62</v>
      </c>
      <c r="D52" s="46"/>
      <c r="E52" s="45" t="s">
        <v>63</v>
      </c>
      <c r="F52" s="45"/>
      <c r="G52" s="8">
        <f t="shared" si="2"/>
        <v>2</v>
      </c>
      <c r="H52" s="8">
        <v>2</v>
      </c>
      <c r="I52" s="8">
        <v>2</v>
      </c>
      <c r="J52" s="8">
        <v>2</v>
      </c>
      <c r="K52" s="8">
        <v>2</v>
      </c>
      <c r="L52" s="8">
        <v>2</v>
      </c>
      <c r="M52" s="8">
        <v>2</v>
      </c>
      <c r="N52" s="8">
        <v>2</v>
      </c>
      <c r="O52" s="8">
        <v>2</v>
      </c>
      <c r="P52" s="8">
        <v>2</v>
      </c>
      <c r="Q52" s="8">
        <v>2</v>
      </c>
      <c r="R52" s="8">
        <v>2</v>
      </c>
      <c r="S52" s="8">
        <v>2</v>
      </c>
      <c r="T52" s="8">
        <v>2</v>
      </c>
      <c r="U52" s="8">
        <v>2</v>
      </c>
      <c r="V52" s="8">
        <v>2</v>
      </c>
      <c r="W52" s="29">
        <v>0</v>
      </c>
      <c r="X52" s="8">
        <v>0</v>
      </c>
    </row>
    <row r="53" spans="1:24" ht="17.25" customHeight="1" x14ac:dyDescent="0.35">
      <c r="A53" s="45"/>
      <c r="B53" s="45"/>
      <c r="C53" s="46" t="s">
        <v>64</v>
      </c>
      <c r="D53" s="46"/>
      <c r="E53" s="45" t="s">
        <v>63</v>
      </c>
      <c r="F53" s="45"/>
      <c r="G53" s="8">
        <f t="shared" si="2"/>
        <v>2</v>
      </c>
      <c r="H53" s="8">
        <v>2</v>
      </c>
      <c r="I53" s="8">
        <v>2</v>
      </c>
      <c r="J53" s="8">
        <v>2</v>
      </c>
      <c r="K53" s="8">
        <v>2</v>
      </c>
      <c r="L53" s="8">
        <v>2</v>
      </c>
      <c r="M53" s="8">
        <v>2</v>
      </c>
      <c r="N53" s="8">
        <v>2</v>
      </c>
      <c r="O53" s="8">
        <v>2</v>
      </c>
      <c r="P53" s="8">
        <v>2</v>
      </c>
      <c r="Q53" s="8">
        <v>2</v>
      </c>
      <c r="R53" s="8">
        <v>2</v>
      </c>
      <c r="S53" s="8">
        <v>2</v>
      </c>
      <c r="T53" s="8">
        <v>2</v>
      </c>
      <c r="U53" s="8">
        <v>2</v>
      </c>
      <c r="V53" s="8">
        <v>2</v>
      </c>
      <c r="W53" s="8">
        <v>2</v>
      </c>
      <c r="X53" s="29">
        <v>0</v>
      </c>
    </row>
    <row r="54" spans="1:24" ht="17.25" customHeight="1" x14ac:dyDescent="0.35">
      <c r="A54" s="45"/>
      <c r="B54" s="45"/>
      <c r="C54" s="46" t="s">
        <v>165</v>
      </c>
      <c r="D54" s="46"/>
      <c r="E54" s="45" t="s">
        <v>63</v>
      </c>
      <c r="F54" s="45"/>
      <c r="G54" s="8">
        <v>2</v>
      </c>
      <c r="H54" s="8">
        <v>2</v>
      </c>
      <c r="I54" s="8">
        <v>2</v>
      </c>
      <c r="J54" s="8">
        <v>2</v>
      </c>
      <c r="K54" s="8">
        <v>2</v>
      </c>
      <c r="L54" s="8">
        <v>2</v>
      </c>
      <c r="M54" s="8">
        <v>2</v>
      </c>
      <c r="N54" s="8">
        <v>2</v>
      </c>
      <c r="O54" s="8">
        <v>2</v>
      </c>
      <c r="P54" s="8">
        <v>2</v>
      </c>
      <c r="Q54" s="8">
        <v>2</v>
      </c>
      <c r="R54" s="8">
        <v>2</v>
      </c>
      <c r="S54" s="8">
        <v>2</v>
      </c>
      <c r="T54" s="8">
        <v>2</v>
      </c>
      <c r="U54" s="8">
        <v>2</v>
      </c>
      <c r="V54" s="8">
        <v>2</v>
      </c>
      <c r="W54" s="8">
        <v>2</v>
      </c>
      <c r="X54" s="29">
        <v>0</v>
      </c>
    </row>
    <row r="55" spans="1:24" ht="17.25" customHeight="1" x14ac:dyDescent="0.35">
      <c r="A55" s="45"/>
      <c r="B55" s="53"/>
      <c r="C55" s="46" t="s">
        <v>65</v>
      </c>
      <c r="D55" s="46"/>
      <c r="E55" s="45" t="s">
        <v>50</v>
      </c>
      <c r="F55" s="45"/>
      <c r="G55" s="8">
        <f>H55</f>
        <v>5</v>
      </c>
      <c r="H55" s="8">
        <v>5</v>
      </c>
      <c r="I55" s="8">
        <v>5</v>
      </c>
      <c r="J55" s="8">
        <v>5</v>
      </c>
      <c r="K55" s="8">
        <v>5</v>
      </c>
      <c r="L55" s="8">
        <v>5</v>
      </c>
      <c r="M55" s="8">
        <v>5</v>
      </c>
      <c r="N55" s="8">
        <v>5</v>
      </c>
      <c r="O55" s="8">
        <v>5</v>
      </c>
      <c r="P55" s="8">
        <v>5</v>
      </c>
      <c r="Q55" s="8">
        <v>5</v>
      </c>
      <c r="R55" s="8">
        <v>5</v>
      </c>
      <c r="S55" s="8">
        <v>5</v>
      </c>
      <c r="T55" s="8">
        <v>5</v>
      </c>
      <c r="U55" s="8">
        <v>5</v>
      </c>
      <c r="V55" s="8">
        <v>5</v>
      </c>
      <c r="W55" s="8">
        <v>5</v>
      </c>
      <c r="X55" s="29">
        <v>0</v>
      </c>
    </row>
    <row r="56" spans="1:24" ht="17.25" customHeight="1" x14ac:dyDescent="0.35">
      <c r="A56" s="45"/>
      <c r="B56" s="53" t="s">
        <v>66</v>
      </c>
      <c r="C56" s="43" t="s">
        <v>67</v>
      </c>
      <c r="D56" s="44"/>
      <c r="E56" s="41" t="s">
        <v>20</v>
      </c>
      <c r="F56" s="42"/>
      <c r="G56" s="8">
        <f t="shared" si="1"/>
        <v>3</v>
      </c>
      <c r="H56" s="33">
        <v>3</v>
      </c>
      <c r="I56" s="33">
        <v>3</v>
      </c>
      <c r="J56" s="33">
        <v>3</v>
      </c>
      <c r="K56" s="33">
        <v>3</v>
      </c>
      <c r="L56" s="29">
        <v>0</v>
      </c>
      <c r="M56" s="8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31">
        <v>0</v>
      </c>
      <c r="W56" s="8">
        <v>0</v>
      </c>
      <c r="X56" s="8">
        <v>0</v>
      </c>
    </row>
    <row r="57" spans="1:24" ht="17.25" customHeight="1" x14ac:dyDescent="0.35">
      <c r="A57" s="45"/>
      <c r="B57" s="45"/>
      <c r="C57" s="43" t="s">
        <v>68</v>
      </c>
      <c r="D57" s="44"/>
      <c r="E57" s="41" t="s">
        <v>18</v>
      </c>
      <c r="F57" s="42"/>
      <c r="G57" s="8">
        <f t="shared" ref="G57" si="3">H57</f>
        <v>5</v>
      </c>
      <c r="H57" s="33">
        <v>5</v>
      </c>
      <c r="I57" s="33">
        <v>5</v>
      </c>
      <c r="J57" s="33">
        <v>5</v>
      </c>
      <c r="K57" s="33">
        <v>5</v>
      </c>
      <c r="L57" s="29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31">
        <v>0</v>
      </c>
      <c r="W57" s="8">
        <v>0</v>
      </c>
      <c r="X57" s="8">
        <v>0</v>
      </c>
    </row>
    <row r="58" spans="1:24" ht="17.25" customHeight="1" x14ac:dyDescent="0.35">
      <c r="A58" s="45"/>
      <c r="B58" s="45"/>
      <c r="C58" s="43" t="s">
        <v>173</v>
      </c>
      <c r="D58" s="44"/>
      <c r="E58" s="41" t="s">
        <v>20</v>
      </c>
      <c r="F58" s="42"/>
      <c r="G58" s="8">
        <f t="shared" si="1"/>
        <v>2</v>
      </c>
      <c r="H58" s="33">
        <v>2</v>
      </c>
      <c r="I58" s="33">
        <v>2</v>
      </c>
      <c r="J58" s="33">
        <v>2</v>
      </c>
      <c r="K58" s="33">
        <v>2</v>
      </c>
      <c r="L58" s="29">
        <v>0</v>
      </c>
      <c r="M58" s="8">
        <v>0</v>
      </c>
      <c r="N58" s="8">
        <v>0</v>
      </c>
      <c r="O58" s="8">
        <v>0</v>
      </c>
      <c r="P58" s="8">
        <v>0</v>
      </c>
      <c r="Q58" s="8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</row>
    <row r="59" spans="1:24" ht="17.25" customHeight="1" x14ac:dyDescent="0.35">
      <c r="A59" s="45"/>
      <c r="B59" s="45"/>
      <c r="C59" s="43" t="s">
        <v>174</v>
      </c>
      <c r="D59" s="44"/>
      <c r="E59" s="41" t="s">
        <v>18</v>
      </c>
      <c r="F59" s="42"/>
      <c r="G59" s="8">
        <f t="shared" ref="G59:G102" si="4">H59</f>
        <v>2</v>
      </c>
      <c r="H59" s="33">
        <v>2</v>
      </c>
      <c r="I59" s="33">
        <v>2</v>
      </c>
      <c r="J59" s="33">
        <v>2</v>
      </c>
      <c r="K59" s="33">
        <v>2</v>
      </c>
      <c r="L59" s="29">
        <v>0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</row>
    <row r="60" spans="1:24" ht="17.25" customHeight="1" x14ac:dyDescent="0.35">
      <c r="A60" s="45"/>
      <c r="B60" s="45"/>
      <c r="C60" s="43" t="s">
        <v>69</v>
      </c>
      <c r="D60" s="44"/>
      <c r="E60" s="41" t="s">
        <v>20</v>
      </c>
      <c r="F60" s="42"/>
      <c r="G60" s="8">
        <f t="shared" si="4"/>
        <v>3</v>
      </c>
      <c r="H60" s="33">
        <v>3</v>
      </c>
      <c r="I60" s="33">
        <v>3</v>
      </c>
      <c r="J60" s="33">
        <v>3</v>
      </c>
      <c r="K60" s="33">
        <v>3</v>
      </c>
      <c r="L60" s="33">
        <v>3</v>
      </c>
      <c r="M60" s="29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0</v>
      </c>
      <c r="U60" s="8">
        <v>0</v>
      </c>
      <c r="V60" s="8">
        <v>0</v>
      </c>
      <c r="W60" s="8">
        <v>0</v>
      </c>
      <c r="X60" s="8">
        <v>0</v>
      </c>
    </row>
    <row r="61" spans="1:24" ht="17.25" customHeight="1" x14ac:dyDescent="0.35">
      <c r="A61" s="45"/>
      <c r="B61" s="45"/>
      <c r="C61" s="43" t="s">
        <v>70</v>
      </c>
      <c r="D61" s="44"/>
      <c r="E61" s="41" t="s">
        <v>18</v>
      </c>
      <c r="F61" s="42"/>
      <c r="G61" s="8">
        <f t="shared" si="4"/>
        <v>5</v>
      </c>
      <c r="H61" s="33">
        <v>5</v>
      </c>
      <c r="I61" s="8">
        <v>5</v>
      </c>
      <c r="J61" s="8">
        <v>5</v>
      </c>
      <c r="K61" s="8">
        <v>5</v>
      </c>
      <c r="L61" s="8">
        <v>5</v>
      </c>
      <c r="M61" s="29">
        <v>0</v>
      </c>
      <c r="N61" s="8">
        <v>0</v>
      </c>
      <c r="O61" s="8">
        <v>0</v>
      </c>
      <c r="P61" s="8">
        <v>0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0</v>
      </c>
      <c r="X61" s="8">
        <v>0</v>
      </c>
    </row>
    <row r="62" spans="1:24" ht="17.25" customHeight="1" x14ac:dyDescent="0.35">
      <c r="A62" s="45"/>
      <c r="B62" s="45"/>
      <c r="C62" s="43" t="s">
        <v>71</v>
      </c>
      <c r="D62" s="44"/>
      <c r="E62" s="41" t="s">
        <v>20</v>
      </c>
      <c r="F62" s="42"/>
      <c r="G62" s="8">
        <f t="shared" si="4"/>
        <v>4</v>
      </c>
      <c r="H62" s="33">
        <v>4</v>
      </c>
      <c r="I62" s="8">
        <v>4</v>
      </c>
      <c r="J62" s="8">
        <v>4</v>
      </c>
      <c r="K62" s="8">
        <v>4</v>
      </c>
      <c r="L62" s="8">
        <v>4</v>
      </c>
      <c r="M62" s="8">
        <v>4</v>
      </c>
      <c r="N62" s="29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</row>
    <row r="63" spans="1:24" ht="17.25" customHeight="1" x14ac:dyDescent="0.35">
      <c r="A63" s="45"/>
      <c r="B63" s="45"/>
      <c r="C63" s="43" t="s">
        <v>72</v>
      </c>
      <c r="D63" s="44"/>
      <c r="E63" s="41" t="s">
        <v>18</v>
      </c>
      <c r="F63" s="42"/>
      <c r="G63" s="8">
        <f t="shared" si="4"/>
        <v>6</v>
      </c>
      <c r="H63" s="33">
        <v>6</v>
      </c>
      <c r="I63" s="8">
        <v>6</v>
      </c>
      <c r="J63" s="8">
        <v>6</v>
      </c>
      <c r="K63" s="8">
        <v>6</v>
      </c>
      <c r="L63" s="8">
        <v>6</v>
      </c>
      <c r="M63" s="8">
        <v>6</v>
      </c>
      <c r="N63" s="29">
        <v>0</v>
      </c>
      <c r="O63" s="8">
        <v>0</v>
      </c>
      <c r="P63" s="8">
        <v>0</v>
      </c>
      <c r="Q63" s="8">
        <v>0</v>
      </c>
      <c r="R63" s="8">
        <v>0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</row>
    <row r="64" spans="1:24" ht="17.25" customHeight="1" x14ac:dyDescent="0.35">
      <c r="A64" s="45"/>
      <c r="B64" s="45"/>
      <c r="C64" s="43" t="s">
        <v>73</v>
      </c>
      <c r="D64" s="44"/>
      <c r="E64" s="41" t="s">
        <v>20</v>
      </c>
      <c r="F64" s="42"/>
      <c r="G64" s="8">
        <f t="shared" si="4"/>
        <v>4</v>
      </c>
      <c r="H64" s="33">
        <v>4</v>
      </c>
      <c r="I64" s="33">
        <v>4</v>
      </c>
      <c r="J64" s="33">
        <v>4</v>
      </c>
      <c r="K64" s="33">
        <v>4</v>
      </c>
      <c r="L64" s="33">
        <v>4</v>
      </c>
      <c r="M64" s="33">
        <v>4</v>
      </c>
      <c r="N64" s="33">
        <v>4</v>
      </c>
      <c r="O64" s="29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</row>
    <row r="65" spans="1:24" ht="17.25" customHeight="1" x14ac:dyDescent="0.35">
      <c r="A65" s="45"/>
      <c r="B65" s="45"/>
      <c r="C65" s="43" t="s">
        <v>74</v>
      </c>
      <c r="D65" s="44"/>
      <c r="E65" s="41" t="s">
        <v>18</v>
      </c>
      <c r="F65" s="42"/>
      <c r="G65" s="8">
        <f t="shared" si="4"/>
        <v>6</v>
      </c>
      <c r="H65" s="33">
        <v>6</v>
      </c>
      <c r="I65" s="33">
        <v>6</v>
      </c>
      <c r="J65" s="33">
        <v>6</v>
      </c>
      <c r="K65" s="33">
        <v>6</v>
      </c>
      <c r="L65" s="33">
        <v>6</v>
      </c>
      <c r="M65" s="33">
        <v>6</v>
      </c>
      <c r="N65" s="33">
        <v>6</v>
      </c>
      <c r="O65" s="29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</row>
    <row r="66" spans="1:24" ht="17.25" customHeight="1" x14ac:dyDescent="0.35">
      <c r="A66" s="45"/>
      <c r="B66" s="45"/>
      <c r="C66" s="43" t="s">
        <v>75</v>
      </c>
      <c r="D66" s="44"/>
      <c r="E66" s="41" t="s">
        <v>20</v>
      </c>
      <c r="F66" s="42"/>
      <c r="G66" s="8">
        <f t="shared" si="4"/>
        <v>3</v>
      </c>
      <c r="H66" s="33">
        <v>3</v>
      </c>
      <c r="I66" s="33">
        <v>3</v>
      </c>
      <c r="J66" s="33">
        <v>3</v>
      </c>
      <c r="K66" s="33">
        <v>3</v>
      </c>
      <c r="L66" s="33">
        <v>3</v>
      </c>
      <c r="M66" s="33">
        <v>3</v>
      </c>
      <c r="N66" s="33">
        <v>3</v>
      </c>
      <c r="O66" s="33">
        <v>3</v>
      </c>
      <c r="P66" s="29">
        <v>0</v>
      </c>
      <c r="Q66" s="8">
        <v>0</v>
      </c>
      <c r="R66" s="8">
        <v>0</v>
      </c>
      <c r="S66" s="8">
        <v>0</v>
      </c>
      <c r="T66" s="8">
        <v>0</v>
      </c>
      <c r="U66" s="8">
        <v>0</v>
      </c>
      <c r="V66" s="31">
        <v>0</v>
      </c>
      <c r="W66" s="8">
        <v>0</v>
      </c>
      <c r="X66" s="8">
        <v>0</v>
      </c>
    </row>
    <row r="67" spans="1:24" ht="17.25" customHeight="1" x14ac:dyDescent="0.35">
      <c r="A67" s="45"/>
      <c r="B67" s="45"/>
      <c r="C67" s="43" t="s">
        <v>76</v>
      </c>
      <c r="D67" s="44"/>
      <c r="E67" s="41" t="s">
        <v>18</v>
      </c>
      <c r="F67" s="42"/>
      <c r="G67" s="8">
        <f t="shared" si="4"/>
        <v>7</v>
      </c>
      <c r="H67" s="33">
        <v>7</v>
      </c>
      <c r="I67" s="33">
        <v>7</v>
      </c>
      <c r="J67" s="33">
        <v>7</v>
      </c>
      <c r="K67" s="33">
        <v>7</v>
      </c>
      <c r="L67" s="33">
        <v>7</v>
      </c>
      <c r="M67" s="33">
        <v>7</v>
      </c>
      <c r="N67" s="33">
        <v>7</v>
      </c>
      <c r="O67" s="33">
        <v>7</v>
      </c>
      <c r="P67" s="29">
        <v>0</v>
      </c>
      <c r="Q67" s="8">
        <v>0</v>
      </c>
      <c r="R67" s="8">
        <v>0</v>
      </c>
      <c r="S67" s="8">
        <v>0</v>
      </c>
      <c r="T67" s="8">
        <v>0</v>
      </c>
      <c r="U67" s="8">
        <v>0</v>
      </c>
      <c r="V67" s="31">
        <v>0</v>
      </c>
      <c r="W67" s="8">
        <v>0</v>
      </c>
      <c r="X67" s="8">
        <v>0</v>
      </c>
    </row>
    <row r="68" spans="1:24" ht="17.25" customHeight="1" x14ac:dyDescent="0.35">
      <c r="A68" s="45"/>
      <c r="B68" s="45"/>
      <c r="C68" s="43" t="s">
        <v>77</v>
      </c>
      <c r="D68" s="44"/>
      <c r="E68" s="41" t="s">
        <v>20</v>
      </c>
      <c r="F68" s="42"/>
      <c r="G68" s="8">
        <f t="shared" si="4"/>
        <v>3</v>
      </c>
      <c r="H68" s="33">
        <v>3</v>
      </c>
      <c r="I68" s="33">
        <v>3</v>
      </c>
      <c r="J68" s="33">
        <v>3</v>
      </c>
      <c r="K68" s="33">
        <v>3</v>
      </c>
      <c r="L68" s="33">
        <v>3</v>
      </c>
      <c r="M68" s="33">
        <v>3</v>
      </c>
      <c r="N68" s="33">
        <v>3</v>
      </c>
      <c r="O68" s="33">
        <v>3</v>
      </c>
      <c r="P68" s="33">
        <v>3</v>
      </c>
      <c r="Q68" s="29">
        <v>0</v>
      </c>
      <c r="R68" s="8">
        <v>0</v>
      </c>
      <c r="S68" s="8">
        <v>0</v>
      </c>
      <c r="T68" s="8">
        <v>0</v>
      </c>
      <c r="U68" s="8">
        <v>0</v>
      </c>
      <c r="V68" s="31">
        <v>0</v>
      </c>
      <c r="W68" s="8">
        <v>0</v>
      </c>
      <c r="X68" s="8">
        <v>0</v>
      </c>
    </row>
    <row r="69" spans="1:24" ht="17.25" customHeight="1" x14ac:dyDescent="0.35">
      <c r="A69" s="45"/>
      <c r="B69" s="45"/>
      <c r="C69" s="43" t="s">
        <v>78</v>
      </c>
      <c r="D69" s="44"/>
      <c r="E69" s="41" t="s">
        <v>18</v>
      </c>
      <c r="F69" s="42"/>
      <c r="G69" s="8">
        <f t="shared" si="4"/>
        <v>5</v>
      </c>
      <c r="H69" s="33">
        <v>5</v>
      </c>
      <c r="I69" s="33">
        <v>5</v>
      </c>
      <c r="J69" s="33">
        <v>5</v>
      </c>
      <c r="K69" s="33">
        <v>5</v>
      </c>
      <c r="L69" s="33">
        <v>5</v>
      </c>
      <c r="M69" s="33">
        <v>5</v>
      </c>
      <c r="N69" s="33">
        <v>5</v>
      </c>
      <c r="O69" s="33">
        <v>5</v>
      </c>
      <c r="P69" s="33">
        <v>5</v>
      </c>
      <c r="Q69" s="29">
        <v>0</v>
      </c>
      <c r="R69" s="8">
        <v>0</v>
      </c>
      <c r="S69" s="8">
        <v>0</v>
      </c>
      <c r="T69" s="8">
        <v>0</v>
      </c>
      <c r="U69" s="8">
        <v>0</v>
      </c>
      <c r="V69" s="31">
        <v>0</v>
      </c>
      <c r="W69" s="8">
        <v>0</v>
      </c>
      <c r="X69" s="8">
        <v>0</v>
      </c>
    </row>
    <row r="70" spans="1:24" ht="17.25" customHeight="1" x14ac:dyDescent="0.35">
      <c r="A70" s="45"/>
      <c r="B70" s="45"/>
      <c r="C70" s="43" t="s">
        <v>79</v>
      </c>
      <c r="D70" s="44"/>
      <c r="E70" s="41" t="s">
        <v>20</v>
      </c>
      <c r="F70" s="42"/>
      <c r="G70" s="8">
        <f t="shared" si="4"/>
        <v>3</v>
      </c>
      <c r="H70" s="33">
        <v>3</v>
      </c>
      <c r="I70" s="33">
        <v>3</v>
      </c>
      <c r="J70" s="33">
        <v>3</v>
      </c>
      <c r="K70" s="33">
        <v>3</v>
      </c>
      <c r="L70" s="33">
        <v>3</v>
      </c>
      <c r="M70" s="33">
        <v>3</v>
      </c>
      <c r="N70" s="33">
        <v>3</v>
      </c>
      <c r="O70" s="33">
        <v>3</v>
      </c>
      <c r="P70" s="33">
        <v>3</v>
      </c>
      <c r="Q70" s="33">
        <v>3</v>
      </c>
      <c r="R70" s="29">
        <v>0</v>
      </c>
      <c r="S70" s="8">
        <v>0</v>
      </c>
      <c r="T70" s="8">
        <v>0</v>
      </c>
      <c r="U70" s="8">
        <v>0</v>
      </c>
      <c r="V70" s="31">
        <v>0</v>
      </c>
      <c r="W70" s="8">
        <v>0</v>
      </c>
      <c r="X70" s="8">
        <v>0</v>
      </c>
    </row>
    <row r="71" spans="1:24" ht="17.25" customHeight="1" x14ac:dyDescent="0.35">
      <c r="A71" s="45"/>
      <c r="B71" s="45"/>
      <c r="C71" s="43" t="s">
        <v>80</v>
      </c>
      <c r="D71" s="44"/>
      <c r="E71" s="41" t="s">
        <v>18</v>
      </c>
      <c r="F71" s="42"/>
      <c r="G71" s="8">
        <f t="shared" si="4"/>
        <v>5</v>
      </c>
      <c r="H71" s="33">
        <v>5</v>
      </c>
      <c r="I71" s="33">
        <v>5</v>
      </c>
      <c r="J71" s="33">
        <v>5</v>
      </c>
      <c r="K71" s="33">
        <v>5</v>
      </c>
      <c r="L71" s="33">
        <v>5</v>
      </c>
      <c r="M71" s="33">
        <v>5</v>
      </c>
      <c r="N71" s="33">
        <v>5</v>
      </c>
      <c r="O71" s="33">
        <v>5</v>
      </c>
      <c r="P71" s="33">
        <v>5</v>
      </c>
      <c r="Q71" s="33">
        <v>5</v>
      </c>
      <c r="R71" s="29">
        <v>0</v>
      </c>
      <c r="S71" s="8">
        <v>0</v>
      </c>
      <c r="T71" s="8">
        <v>0</v>
      </c>
      <c r="U71" s="8">
        <v>0</v>
      </c>
      <c r="V71" s="31">
        <v>0</v>
      </c>
      <c r="W71" s="8">
        <v>0</v>
      </c>
      <c r="X71" s="8">
        <v>0</v>
      </c>
    </row>
    <row r="72" spans="1:24" ht="17.25" customHeight="1" x14ac:dyDescent="0.35">
      <c r="A72" s="45"/>
      <c r="B72" s="45"/>
      <c r="C72" s="43" t="s">
        <v>81</v>
      </c>
      <c r="D72" s="44"/>
      <c r="E72" s="41" t="s">
        <v>20</v>
      </c>
      <c r="F72" s="42"/>
      <c r="G72" s="8">
        <f t="shared" si="4"/>
        <v>2</v>
      </c>
      <c r="H72" s="33">
        <v>2</v>
      </c>
      <c r="I72" s="33">
        <v>2</v>
      </c>
      <c r="J72" s="33">
        <v>2</v>
      </c>
      <c r="K72" s="33">
        <v>2</v>
      </c>
      <c r="L72" s="33">
        <v>2</v>
      </c>
      <c r="M72" s="33">
        <v>2</v>
      </c>
      <c r="N72" s="33">
        <v>2</v>
      </c>
      <c r="O72" s="33">
        <v>2</v>
      </c>
      <c r="P72" s="33">
        <v>2</v>
      </c>
      <c r="Q72" s="33">
        <v>2</v>
      </c>
      <c r="R72" s="33">
        <v>2</v>
      </c>
      <c r="S72" s="29">
        <v>0</v>
      </c>
      <c r="T72" s="8">
        <v>0</v>
      </c>
      <c r="U72" s="8">
        <v>0</v>
      </c>
      <c r="V72" s="31">
        <v>0</v>
      </c>
      <c r="W72" s="8">
        <v>0</v>
      </c>
      <c r="X72" s="8">
        <v>0</v>
      </c>
    </row>
    <row r="73" spans="1:24" ht="17.25" customHeight="1" x14ac:dyDescent="0.35">
      <c r="A73" s="45"/>
      <c r="B73" s="45"/>
      <c r="C73" s="43" t="s">
        <v>82</v>
      </c>
      <c r="D73" s="44"/>
      <c r="E73" s="41" t="s">
        <v>22</v>
      </c>
      <c r="F73" s="42"/>
      <c r="G73" s="8">
        <f t="shared" si="4"/>
        <v>6</v>
      </c>
      <c r="H73" s="33">
        <v>6</v>
      </c>
      <c r="I73" s="33">
        <v>6</v>
      </c>
      <c r="J73" s="33">
        <v>6</v>
      </c>
      <c r="K73" s="33">
        <v>6</v>
      </c>
      <c r="L73" s="33">
        <v>6</v>
      </c>
      <c r="M73" s="33">
        <v>6</v>
      </c>
      <c r="N73" s="33">
        <v>6</v>
      </c>
      <c r="O73" s="33">
        <v>6</v>
      </c>
      <c r="P73" s="33">
        <v>6</v>
      </c>
      <c r="Q73" s="33">
        <v>6</v>
      </c>
      <c r="R73" s="33">
        <v>6</v>
      </c>
      <c r="S73" s="29">
        <v>0</v>
      </c>
      <c r="T73" s="8">
        <v>0</v>
      </c>
      <c r="U73" s="8">
        <v>0</v>
      </c>
      <c r="V73" s="31">
        <v>0</v>
      </c>
      <c r="W73" s="8">
        <v>0</v>
      </c>
      <c r="X73" s="8">
        <v>0</v>
      </c>
    </row>
    <row r="74" spans="1:24" ht="17.25" customHeight="1" x14ac:dyDescent="0.35">
      <c r="A74" s="45"/>
      <c r="B74" s="45"/>
      <c r="C74" s="43" t="s">
        <v>83</v>
      </c>
      <c r="D74" s="44"/>
      <c r="E74" s="41" t="s">
        <v>20</v>
      </c>
      <c r="F74" s="42"/>
      <c r="G74" s="8">
        <f t="shared" si="4"/>
        <v>2</v>
      </c>
      <c r="H74" s="33">
        <v>2</v>
      </c>
      <c r="I74" s="33">
        <v>2</v>
      </c>
      <c r="J74" s="33">
        <v>2</v>
      </c>
      <c r="K74" s="33">
        <v>2</v>
      </c>
      <c r="L74" s="33">
        <v>2</v>
      </c>
      <c r="M74" s="33">
        <v>2</v>
      </c>
      <c r="N74" s="33">
        <v>2</v>
      </c>
      <c r="O74" s="33">
        <v>2</v>
      </c>
      <c r="P74" s="33">
        <v>2</v>
      </c>
      <c r="Q74" s="33">
        <v>2</v>
      </c>
      <c r="R74" s="33">
        <v>2</v>
      </c>
      <c r="S74" s="8">
        <v>3</v>
      </c>
      <c r="T74" s="29">
        <v>0</v>
      </c>
      <c r="U74" s="8">
        <v>0</v>
      </c>
      <c r="V74" s="31">
        <v>0</v>
      </c>
      <c r="W74" s="8">
        <v>0</v>
      </c>
      <c r="X74" s="8">
        <v>0</v>
      </c>
    </row>
    <row r="75" spans="1:24" ht="17.25" customHeight="1" x14ac:dyDescent="0.35">
      <c r="A75" s="45"/>
      <c r="B75" s="45"/>
      <c r="C75" s="43" t="s">
        <v>84</v>
      </c>
      <c r="D75" s="44"/>
      <c r="E75" s="41" t="s">
        <v>22</v>
      </c>
      <c r="F75" s="42"/>
      <c r="G75" s="8">
        <f t="shared" si="4"/>
        <v>12</v>
      </c>
      <c r="H75" s="33">
        <v>12</v>
      </c>
      <c r="I75" s="33">
        <v>12</v>
      </c>
      <c r="J75" s="33">
        <v>12</v>
      </c>
      <c r="K75" s="33">
        <v>12</v>
      </c>
      <c r="L75" s="33">
        <v>12</v>
      </c>
      <c r="M75" s="33">
        <v>12</v>
      </c>
      <c r="N75" s="33">
        <v>12</v>
      </c>
      <c r="O75" s="33">
        <v>12</v>
      </c>
      <c r="P75" s="33">
        <v>12</v>
      </c>
      <c r="Q75" s="33">
        <v>12</v>
      </c>
      <c r="R75" s="33">
        <v>12</v>
      </c>
      <c r="S75" s="33">
        <v>12</v>
      </c>
      <c r="T75" s="29">
        <v>0</v>
      </c>
      <c r="U75" s="8">
        <v>0</v>
      </c>
      <c r="V75" s="31">
        <v>0</v>
      </c>
      <c r="W75" s="8">
        <v>0</v>
      </c>
      <c r="X75" s="8">
        <v>0</v>
      </c>
    </row>
    <row r="76" spans="1:24" ht="17.25" customHeight="1" x14ac:dyDescent="0.35">
      <c r="A76" s="45"/>
      <c r="B76" s="45"/>
      <c r="C76" s="43" t="s">
        <v>85</v>
      </c>
      <c r="D76" s="44"/>
      <c r="E76" s="41" t="s">
        <v>20</v>
      </c>
      <c r="F76" s="42"/>
      <c r="G76" s="8">
        <f t="shared" si="4"/>
        <v>3</v>
      </c>
      <c r="H76" s="33">
        <v>3</v>
      </c>
      <c r="I76" s="8">
        <v>3</v>
      </c>
      <c r="J76" s="8">
        <v>3</v>
      </c>
      <c r="K76" s="8">
        <v>3</v>
      </c>
      <c r="L76" s="8">
        <v>3</v>
      </c>
      <c r="M76" s="8">
        <v>3</v>
      </c>
      <c r="N76" s="8">
        <v>3</v>
      </c>
      <c r="O76" s="8">
        <v>3</v>
      </c>
      <c r="P76" s="8">
        <v>3</v>
      </c>
      <c r="Q76" s="8">
        <v>3</v>
      </c>
      <c r="R76" s="8">
        <v>3</v>
      </c>
      <c r="S76" s="8">
        <v>3</v>
      </c>
      <c r="T76" s="8">
        <v>3</v>
      </c>
      <c r="U76" s="29">
        <v>0</v>
      </c>
      <c r="V76" s="31">
        <v>0</v>
      </c>
      <c r="W76" s="8">
        <v>0</v>
      </c>
      <c r="X76" s="8">
        <v>0</v>
      </c>
    </row>
    <row r="77" spans="1:24" ht="17.25" customHeight="1" x14ac:dyDescent="0.35">
      <c r="A77" s="45"/>
      <c r="B77" s="45"/>
      <c r="C77" s="43" t="s">
        <v>86</v>
      </c>
      <c r="D77" s="44"/>
      <c r="E77" s="41" t="s">
        <v>18</v>
      </c>
      <c r="F77" s="42"/>
      <c r="G77" s="8">
        <f t="shared" si="4"/>
        <v>5</v>
      </c>
      <c r="H77" s="33">
        <v>5</v>
      </c>
      <c r="I77" s="33">
        <v>5</v>
      </c>
      <c r="J77" s="33">
        <v>5</v>
      </c>
      <c r="K77" s="33">
        <v>5</v>
      </c>
      <c r="L77" s="33">
        <v>5</v>
      </c>
      <c r="M77" s="33">
        <v>5</v>
      </c>
      <c r="N77" s="33">
        <v>5</v>
      </c>
      <c r="O77" s="33">
        <v>5</v>
      </c>
      <c r="P77" s="33">
        <v>5</v>
      </c>
      <c r="Q77" s="33">
        <v>5</v>
      </c>
      <c r="R77" s="33">
        <v>5</v>
      </c>
      <c r="S77" s="33">
        <v>5</v>
      </c>
      <c r="T77" s="33">
        <v>5</v>
      </c>
      <c r="U77" s="29">
        <v>0</v>
      </c>
      <c r="V77" s="31">
        <v>0</v>
      </c>
      <c r="W77" s="8">
        <v>0</v>
      </c>
      <c r="X77" s="8">
        <v>0</v>
      </c>
    </row>
    <row r="78" spans="1:24" ht="17.25" customHeight="1" x14ac:dyDescent="0.35">
      <c r="A78" s="45"/>
      <c r="B78" s="45"/>
      <c r="C78" s="43" t="s">
        <v>175</v>
      </c>
      <c r="D78" s="44"/>
      <c r="E78" s="41" t="s">
        <v>20</v>
      </c>
      <c r="F78" s="42"/>
      <c r="G78" s="8">
        <f t="shared" si="4"/>
        <v>3</v>
      </c>
      <c r="H78" s="33">
        <v>3</v>
      </c>
      <c r="I78" s="33">
        <v>3</v>
      </c>
      <c r="J78" s="33">
        <v>3</v>
      </c>
      <c r="K78" s="33">
        <v>3</v>
      </c>
      <c r="L78" s="33">
        <v>3</v>
      </c>
      <c r="M78" s="33">
        <v>3</v>
      </c>
      <c r="N78" s="33">
        <v>3</v>
      </c>
      <c r="O78" s="33">
        <v>3</v>
      </c>
      <c r="P78" s="33">
        <v>3</v>
      </c>
      <c r="Q78" s="33">
        <v>3</v>
      </c>
      <c r="R78" s="33">
        <v>3</v>
      </c>
      <c r="S78" s="33">
        <v>3</v>
      </c>
      <c r="T78" s="33">
        <v>3</v>
      </c>
      <c r="U78" s="33">
        <v>3</v>
      </c>
      <c r="V78" s="29">
        <v>0</v>
      </c>
      <c r="W78" s="8">
        <v>0</v>
      </c>
      <c r="X78" s="8">
        <v>0</v>
      </c>
    </row>
    <row r="79" spans="1:24" ht="17.25" customHeight="1" x14ac:dyDescent="0.35">
      <c r="A79" s="45"/>
      <c r="B79" s="45"/>
      <c r="C79" s="43" t="s">
        <v>176</v>
      </c>
      <c r="D79" s="44"/>
      <c r="E79" s="41" t="s">
        <v>147</v>
      </c>
      <c r="F79" s="42"/>
      <c r="G79" s="8">
        <f t="shared" si="4"/>
        <v>5</v>
      </c>
      <c r="H79" s="33">
        <v>5</v>
      </c>
      <c r="I79" s="33">
        <v>5</v>
      </c>
      <c r="J79" s="33">
        <v>5</v>
      </c>
      <c r="K79" s="33">
        <v>5</v>
      </c>
      <c r="L79" s="33">
        <v>5</v>
      </c>
      <c r="M79" s="33">
        <v>5</v>
      </c>
      <c r="N79" s="33">
        <v>5</v>
      </c>
      <c r="O79" s="33">
        <v>5</v>
      </c>
      <c r="P79" s="33">
        <v>5</v>
      </c>
      <c r="Q79" s="33">
        <v>5</v>
      </c>
      <c r="R79" s="33">
        <v>5</v>
      </c>
      <c r="S79" s="33">
        <v>5</v>
      </c>
      <c r="T79" s="33">
        <v>5</v>
      </c>
      <c r="U79" s="33">
        <v>5</v>
      </c>
      <c r="V79" s="29">
        <v>0</v>
      </c>
      <c r="W79" s="8">
        <v>0</v>
      </c>
      <c r="X79" s="8">
        <v>0</v>
      </c>
    </row>
    <row r="80" spans="1:24" ht="17.25" customHeight="1" x14ac:dyDescent="0.35">
      <c r="A80" s="45"/>
      <c r="B80" s="45"/>
      <c r="C80" s="43" t="s">
        <v>177</v>
      </c>
      <c r="D80" s="44"/>
      <c r="E80" s="41" t="s">
        <v>20</v>
      </c>
      <c r="F80" s="42"/>
      <c r="G80" s="8">
        <v>2</v>
      </c>
      <c r="H80" s="33">
        <v>2</v>
      </c>
      <c r="I80" s="33">
        <v>2</v>
      </c>
      <c r="J80" s="33">
        <v>2</v>
      </c>
      <c r="K80" s="33">
        <v>2</v>
      </c>
      <c r="L80" s="33">
        <v>2</v>
      </c>
      <c r="M80" s="33">
        <v>2</v>
      </c>
      <c r="N80" s="33">
        <v>2</v>
      </c>
      <c r="O80" s="33">
        <v>2</v>
      </c>
      <c r="P80" s="33">
        <v>2</v>
      </c>
      <c r="Q80" s="33">
        <v>2</v>
      </c>
      <c r="R80" s="33">
        <v>2</v>
      </c>
      <c r="S80" s="33">
        <v>2</v>
      </c>
      <c r="T80" s="33">
        <v>2</v>
      </c>
      <c r="U80" s="33">
        <v>2</v>
      </c>
      <c r="V80" s="29">
        <v>0</v>
      </c>
      <c r="W80" s="8">
        <v>0</v>
      </c>
      <c r="X80" s="8">
        <v>0</v>
      </c>
    </row>
    <row r="81" spans="1:24" ht="17.25" customHeight="1" x14ac:dyDescent="0.35">
      <c r="A81" s="45"/>
      <c r="B81" s="45"/>
      <c r="C81" s="43" t="s">
        <v>178</v>
      </c>
      <c r="D81" s="44"/>
      <c r="E81" s="41" t="s">
        <v>22</v>
      </c>
      <c r="F81" s="42"/>
      <c r="G81" s="8">
        <v>4</v>
      </c>
      <c r="H81" s="33">
        <v>4</v>
      </c>
      <c r="I81" s="33">
        <v>4</v>
      </c>
      <c r="J81" s="33">
        <v>4</v>
      </c>
      <c r="K81" s="33">
        <v>4</v>
      </c>
      <c r="L81" s="33">
        <v>4</v>
      </c>
      <c r="M81" s="33">
        <v>4</v>
      </c>
      <c r="N81" s="33">
        <v>4</v>
      </c>
      <c r="O81" s="33">
        <v>4</v>
      </c>
      <c r="P81" s="33">
        <v>4</v>
      </c>
      <c r="Q81" s="33">
        <v>4</v>
      </c>
      <c r="R81" s="33">
        <v>4</v>
      </c>
      <c r="S81" s="33">
        <v>4</v>
      </c>
      <c r="T81" s="33">
        <v>4</v>
      </c>
      <c r="U81" s="33">
        <v>4</v>
      </c>
      <c r="V81" s="29">
        <v>0</v>
      </c>
      <c r="W81" s="8">
        <v>0</v>
      </c>
      <c r="X81" s="8">
        <v>0</v>
      </c>
    </row>
    <row r="82" spans="1:24" ht="17.25" customHeight="1" x14ac:dyDescent="0.35">
      <c r="A82" s="45"/>
      <c r="B82" s="45"/>
      <c r="C82" s="43" t="s">
        <v>87</v>
      </c>
      <c r="D82" s="44"/>
      <c r="E82" s="41" t="s">
        <v>20</v>
      </c>
      <c r="F82" s="42"/>
      <c r="G82" s="8">
        <v>3</v>
      </c>
      <c r="H82" s="33">
        <v>3</v>
      </c>
      <c r="I82" s="33">
        <v>3</v>
      </c>
      <c r="J82" s="33">
        <v>3</v>
      </c>
      <c r="K82" s="33">
        <v>3</v>
      </c>
      <c r="L82" s="33">
        <v>3</v>
      </c>
      <c r="M82" s="33">
        <v>3</v>
      </c>
      <c r="N82" s="33">
        <v>3</v>
      </c>
      <c r="O82" s="33">
        <v>3</v>
      </c>
      <c r="P82" s="33">
        <v>3</v>
      </c>
      <c r="Q82" s="33">
        <v>3</v>
      </c>
      <c r="R82" s="33">
        <v>3</v>
      </c>
      <c r="S82" s="33">
        <v>3</v>
      </c>
      <c r="T82" s="33">
        <v>3</v>
      </c>
      <c r="U82" s="33">
        <v>3</v>
      </c>
      <c r="V82" s="33">
        <v>3</v>
      </c>
      <c r="W82" s="29">
        <v>0</v>
      </c>
      <c r="X82" s="8">
        <v>0</v>
      </c>
    </row>
    <row r="83" spans="1:24" ht="17.25" customHeight="1" x14ac:dyDescent="0.35">
      <c r="A83" s="45"/>
      <c r="B83" s="45"/>
      <c r="C83" s="43" t="s">
        <v>88</v>
      </c>
      <c r="D83" s="44"/>
      <c r="E83" s="41" t="s">
        <v>24</v>
      </c>
      <c r="F83" s="42"/>
      <c r="G83" s="8">
        <v>10</v>
      </c>
      <c r="H83" s="33">
        <v>7</v>
      </c>
      <c r="I83" s="33">
        <v>7</v>
      </c>
      <c r="J83" s="33">
        <v>7</v>
      </c>
      <c r="K83" s="33">
        <v>7</v>
      </c>
      <c r="L83" s="33">
        <v>7</v>
      </c>
      <c r="M83" s="33">
        <v>7</v>
      </c>
      <c r="N83" s="33">
        <v>7</v>
      </c>
      <c r="O83" s="33">
        <v>7</v>
      </c>
      <c r="P83" s="33">
        <v>7</v>
      </c>
      <c r="Q83" s="33">
        <v>7</v>
      </c>
      <c r="R83" s="33">
        <v>7</v>
      </c>
      <c r="S83" s="33">
        <v>7</v>
      </c>
      <c r="T83" s="33">
        <v>7</v>
      </c>
      <c r="U83" s="33">
        <v>7</v>
      </c>
      <c r="V83" s="33">
        <v>7</v>
      </c>
      <c r="W83" s="29">
        <v>0</v>
      </c>
      <c r="X83" s="8">
        <v>0</v>
      </c>
    </row>
    <row r="84" spans="1:24" ht="17.25" customHeight="1" x14ac:dyDescent="0.35">
      <c r="A84" s="45"/>
      <c r="B84" s="45"/>
      <c r="C84" s="41"/>
      <c r="D84" s="42"/>
      <c r="E84" s="41"/>
      <c r="F84" s="42"/>
      <c r="G84" s="8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2">
        <v>3</v>
      </c>
      <c r="X84" s="8"/>
    </row>
    <row r="85" spans="1:24" ht="17.25" customHeight="1" x14ac:dyDescent="0.35">
      <c r="A85" s="45"/>
      <c r="B85" s="45"/>
      <c r="C85" s="43" t="s">
        <v>89</v>
      </c>
      <c r="D85" s="44"/>
      <c r="E85" s="41" t="s">
        <v>20</v>
      </c>
      <c r="F85" s="42"/>
      <c r="G85" s="8">
        <v>2</v>
      </c>
      <c r="H85" s="33">
        <v>2</v>
      </c>
      <c r="I85" s="33">
        <v>2</v>
      </c>
      <c r="J85" s="33">
        <v>2</v>
      </c>
      <c r="K85" s="33">
        <v>2</v>
      </c>
      <c r="L85" s="33">
        <v>2</v>
      </c>
      <c r="M85" s="33">
        <v>2</v>
      </c>
      <c r="N85" s="33">
        <v>2</v>
      </c>
      <c r="O85" s="33">
        <v>2</v>
      </c>
      <c r="P85" s="33">
        <v>2</v>
      </c>
      <c r="Q85" s="33">
        <v>2</v>
      </c>
      <c r="R85" s="33">
        <v>2</v>
      </c>
      <c r="S85" s="33">
        <v>2</v>
      </c>
      <c r="T85" s="33">
        <v>2</v>
      </c>
      <c r="U85" s="33">
        <v>2</v>
      </c>
      <c r="V85" s="33">
        <v>2</v>
      </c>
      <c r="W85" s="33">
        <v>2</v>
      </c>
      <c r="X85" s="29">
        <v>0</v>
      </c>
    </row>
    <row r="86" spans="1:24" ht="17.25" customHeight="1" x14ac:dyDescent="0.35">
      <c r="A86" s="45"/>
      <c r="B86" s="45"/>
      <c r="C86" s="43" t="s">
        <v>90</v>
      </c>
      <c r="D86" s="44"/>
      <c r="E86" s="41" t="s">
        <v>24</v>
      </c>
      <c r="F86" s="42"/>
      <c r="G86" s="8">
        <v>8</v>
      </c>
      <c r="H86" s="33">
        <v>6</v>
      </c>
      <c r="I86" s="33">
        <v>6</v>
      </c>
      <c r="J86" s="33">
        <v>6</v>
      </c>
      <c r="K86" s="33">
        <v>6</v>
      </c>
      <c r="L86" s="33">
        <v>6</v>
      </c>
      <c r="M86" s="33">
        <v>6</v>
      </c>
      <c r="N86" s="33">
        <v>6</v>
      </c>
      <c r="O86" s="33">
        <v>6</v>
      </c>
      <c r="P86" s="33">
        <v>6</v>
      </c>
      <c r="Q86" s="33">
        <v>6</v>
      </c>
      <c r="R86" s="33">
        <v>6</v>
      </c>
      <c r="S86" s="33">
        <v>6</v>
      </c>
      <c r="T86" s="33">
        <v>6</v>
      </c>
      <c r="U86" s="33">
        <v>6</v>
      </c>
      <c r="V86" s="33">
        <v>6</v>
      </c>
      <c r="W86" s="33">
        <v>6</v>
      </c>
      <c r="X86" s="29">
        <v>0</v>
      </c>
    </row>
    <row r="87" spans="1:24" ht="17.25" customHeight="1" x14ac:dyDescent="0.35">
      <c r="A87" s="45"/>
      <c r="B87" s="45"/>
      <c r="C87" s="41"/>
      <c r="D87" s="42"/>
      <c r="E87" s="41"/>
      <c r="F87" s="42"/>
      <c r="G87" s="8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32">
        <v>2</v>
      </c>
    </row>
    <row r="88" spans="1:24" ht="17.25" customHeight="1" x14ac:dyDescent="0.35">
      <c r="A88" s="45"/>
      <c r="B88" s="45"/>
      <c r="C88" s="43" t="s">
        <v>179</v>
      </c>
      <c r="D88" s="44"/>
      <c r="E88" s="41" t="s">
        <v>20</v>
      </c>
      <c r="F88" s="42"/>
      <c r="G88" s="8">
        <v>3</v>
      </c>
      <c r="H88" s="33">
        <v>3</v>
      </c>
      <c r="I88" s="33">
        <v>3</v>
      </c>
      <c r="J88" s="33">
        <v>3</v>
      </c>
      <c r="K88" s="33">
        <v>3</v>
      </c>
      <c r="L88" s="33">
        <v>3</v>
      </c>
      <c r="M88" s="33">
        <v>3</v>
      </c>
      <c r="N88" s="33">
        <v>3</v>
      </c>
      <c r="O88" s="33">
        <v>3</v>
      </c>
      <c r="P88" s="33">
        <v>3</v>
      </c>
      <c r="Q88" s="33">
        <v>3</v>
      </c>
      <c r="R88" s="33">
        <v>3</v>
      </c>
      <c r="S88" s="33">
        <v>3</v>
      </c>
      <c r="T88" s="33">
        <v>3</v>
      </c>
      <c r="U88" s="33">
        <v>3</v>
      </c>
      <c r="V88" s="33">
        <v>3</v>
      </c>
      <c r="W88" s="33">
        <v>3</v>
      </c>
      <c r="X88" s="29">
        <v>0</v>
      </c>
    </row>
    <row r="89" spans="1:24" ht="17.25" customHeight="1" x14ac:dyDescent="0.35">
      <c r="A89" s="45"/>
      <c r="B89" s="45"/>
      <c r="C89" s="43" t="s">
        <v>180</v>
      </c>
      <c r="D89" s="44"/>
      <c r="E89" s="41" t="s">
        <v>24</v>
      </c>
      <c r="F89" s="42"/>
      <c r="G89" s="8">
        <v>8</v>
      </c>
      <c r="H89" s="33">
        <v>7</v>
      </c>
      <c r="I89" s="33">
        <v>7</v>
      </c>
      <c r="J89" s="33">
        <v>7</v>
      </c>
      <c r="K89" s="33">
        <v>7</v>
      </c>
      <c r="L89" s="33">
        <v>7</v>
      </c>
      <c r="M89" s="33">
        <v>7</v>
      </c>
      <c r="N89" s="33">
        <v>7</v>
      </c>
      <c r="O89" s="33">
        <v>7</v>
      </c>
      <c r="P89" s="33">
        <v>7</v>
      </c>
      <c r="Q89" s="33">
        <v>7</v>
      </c>
      <c r="R89" s="33">
        <v>7</v>
      </c>
      <c r="S89" s="33">
        <v>7</v>
      </c>
      <c r="T89" s="33">
        <v>7</v>
      </c>
      <c r="U89" s="33">
        <v>7</v>
      </c>
      <c r="V89" s="33">
        <v>7</v>
      </c>
      <c r="W89" s="33">
        <v>7</v>
      </c>
      <c r="X89" s="29">
        <v>0</v>
      </c>
    </row>
    <row r="90" spans="1:24" ht="17.25" customHeight="1" x14ac:dyDescent="0.35">
      <c r="A90" s="45"/>
      <c r="B90" s="45"/>
      <c r="C90" s="41"/>
      <c r="D90" s="42"/>
      <c r="E90" s="41"/>
      <c r="F90" s="42"/>
      <c r="G90" s="8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32">
        <v>1</v>
      </c>
    </row>
    <row r="91" spans="1:24" ht="17.25" customHeight="1" x14ac:dyDescent="0.35">
      <c r="A91" s="45"/>
      <c r="B91" s="53"/>
      <c r="C91" s="46" t="s">
        <v>91</v>
      </c>
      <c r="D91" s="46"/>
      <c r="E91" s="45" t="s">
        <v>50</v>
      </c>
      <c r="F91" s="45"/>
      <c r="G91" s="8">
        <f t="shared" si="4"/>
        <v>10</v>
      </c>
      <c r="H91" s="8">
        <v>10</v>
      </c>
      <c r="I91" s="8">
        <v>10</v>
      </c>
      <c r="J91" s="8">
        <v>10</v>
      </c>
      <c r="K91" s="8">
        <v>10</v>
      </c>
      <c r="L91" s="8">
        <v>10</v>
      </c>
      <c r="M91" s="8">
        <v>10</v>
      </c>
      <c r="N91" s="8">
        <v>10</v>
      </c>
      <c r="O91" s="8">
        <v>10</v>
      </c>
      <c r="P91" s="8">
        <v>10</v>
      </c>
      <c r="Q91" s="8">
        <v>10</v>
      </c>
      <c r="R91" s="8">
        <v>10</v>
      </c>
      <c r="S91" s="8">
        <v>10</v>
      </c>
      <c r="T91" s="8">
        <v>10</v>
      </c>
      <c r="U91" s="8">
        <v>10</v>
      </c>
      <c r="V91" s="8">
        <v>10</v>
      </c>
      <c r="W91" s="8">
        <v>10</v>
      </c>
      <c r="X91" s="29">
        <v>0</v>
      </c>
    </row>
    <row r="92" spans="1:24" ht="17.25" customHeight="1" x14ac:dyDescent="0.35">
      <c r="A92" s="45"/>
      <c r="B92" s="53" t="s">
        <v>92</v>
      </c>
      <c r="C92" s="46" t="s">
        <v>93</v>
      </c>
      <c r="D92" s="46"/>
      <c r="E92" s="41" t="s">
        <v>22</v>
      </c>
      <c r="F92" s="42"/>
      <c r="G92" s="8">
        <f>H92</f>
        <v>2</v>
      </c>
      <c r="H92" s="33">
        <v>2</v>
      </c>
      <c r="I92" s="8">
        <v>2</v>
      </c>
      <c r="J92" s="8">
        <v>2</v>
      </c>
      <c r="K92" s="8">
        <v>2</v>
      </c>
      <c r="L92" s="29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</row>
    <row r="93" spans="1:24" ht="17.25" customHeight="1" x14ac:dyDescent="0.35">
      <c r="A93" s="45"/>
      <c r="B93" s="53"/>
      <c r="C93" s="46" t="s">
        <v>166</v>
      </c>
      <c r="D93" s="46"/>
      <c r="E93" s="41" t="s">
        <v>22</v>
      </c>
      <c r="F93" s="42"/>
      <c r="G93" s="8">
        <f t="shared" ref="G93" si="5">H93</f>
        <v>1</v>
      </c>
      <c r="H93" s="33">
        <v>1</v>
      </c>
      <c r="I93" s="33">
        <v>1</v>
      </c>
      <c r="J93" s="33">
        <v>1</v>
      </c>
      <c r="K93" s="33">
        <v>1</v>
      </c>
      <c r="L93" s="29">
        <v>0</v>
      </c>
      <c r="M93" s="8">
        <v>0</v>
      </c>
      <c r="N93" s="8">
        <v>0</v>
      </c>
      <c r="O93" s="8">
        <v>0</v>
      </c>
      <c r="P93" s="8">
        <v>0</v>
      </c>
      <c r="Q93" s="8">
        <v>0</v>
      </c>
      <c r="R93" s="8">
        <v>0</v>
      </c>
      <c r="S93" s="8">
        <v>0</v>
      </c>
      <c r="T93" s="8">
        <v>0</v>
      </c>
      <c r="U93" s="8">
        <v>0</v>
      </c>
      <c r="V93" s="8">
        <v>0</v>
      </c>
      <c r="W93" s="8">
        <v>0</v>
      </c>
      <c r="X93" s="8">
        <v>0</v>
      </c>
    </row>
    <row r="94" spans="1:24" ht="17.25" customHeight="1" x14ac:dyDescent="0.35">
      <c r="A94" s="45"/>
      <c r="B94" s="45"/>
      <c r="C94" s="46" t="s">
        <v>94</v>
      </c>
      <c r="D94" s="46"/>
      <c r="E94" s="41" t="s">
        <v>22</v>
      </c>
      <c r="F94" s="42"/>
      <c r="G94" s="8">
        <f t="shared" si="4"/>
        <v>2</v>
      </c>
      <c r="H94" s="33">
        <v>2</v>
      </c>
      <c r="I94" s="8">
        <v>2</v>
      </c>
      <c r="J94" s="8">
        <v>2</v>
      </c>
      <c r="K94" s="8">
        <v>2</v>
      </c>
      <c r="L94" s="8">
        <v>2</v>
      </c>
      <c r="M94" s="29">
        <v>0</v>
      </c>
      <c r="N94" s="31">
        <v>0</v>
      </c>
      <c r="O94" s="31">
        <v>0</v>
      </c>
      <c r="P94" s="31">
        <v>0</v>
      </c>
      <c r="Q94" s="31">
        <v>0</v>
      </c>
      <c r="R94" s="31">
        <v>0</v>
      </c>
      <c r="S94" s="31">
        <v>0</v>
      </c>
      <c r="T94" s="31">
        <v>0</v>
      </c>
      <c r="U94" s="31">
        <v>0</v>
      </c>
      <c r="V94" s="8">
        <v>0</v>
      </c>
      <c r="W94" s="8">
        <v>0</v>
      </c>
      <c r="X94" s="8">
        <v>0</v>
      </c>
    </row>
    <row r="95" spans="1:24" ht="17.25" customHeight="1" x14ac:dyDescent="0.35">
      <c r="A95" s="45"/>
      <c r="B95" s="45"/>
      <c r="C95" s="46" t="s">
        <v>95</v>
      </c>
      <c r="D95" s="46"/>
      <c r="E95" s="41" t="s">
        <v>22</v>
      </c>
      <c r="F95" s="42"/>
      <c r="G95" s="8">
        <f>H95</f>
        <v>2</v>
      </c>
      <c r="H95" s="33">
        <v>2</v>
      </c>
      <c r="I95" s="33">
        <v>2</v>
      </c>
      <c r="J95" s="33">
        <v>2</v>
      </c>
      <c r="K95" s="33">
        <v>2</v>
      </c>
      <c r="L95" s="33">
        <v>2</v>
      </c>
      <c r="M95" s="33">
        <v>2</v>
      </c>
      <c r="N95" s="29">
        <v>0</v>
      </c>
      <c r="O95" s="31">
        <v>0</v>
      </c>
      <c r="P95" s="31">
        <v>0</v>
      </c>
      <c r="Q95" s="31">
        <v>0</v>
      </c>
      <c r="R95" s="31">
        <v>0</v>
      </c>
      <c r="S95" s="31">
        <v>0</v>
      </c>
      <c r="T95" s="31">
        <v>0</v>
      </c>
      <c r="U95" s="31">
        <v>0</v>
      </c>
      <c r="V95" s="8">
        <v>0</v>
      </c>
      <c r="W95" s="8">
        <v>0</v>
      </c>
      <c r="X95" s="8">
        <v>0</v>
      </c>
    </row>
    <row r="96" spans="1:24" ht="17.25" customHeight="1" x14ac:dyDescent="0.35">
      <c r="A96" s="45"/>
      <c r="B96" s="45"/>
      <c r="C96" s="46" t="s">
        <v>96</v>
      </c>
      <c r="D96" s="46"/>
      <c r="E96" s="41" t="s">
        <v>22</v>
      </c>
      <c r="F96" s="42"/>
      <c r="G96" s="8">
        <f t="shared" si="4"/>
        <v>3</v>
      </c>
      <c r="H96" s="33">
        <v>3</v>
      </c>
      <c r="I96" s="33">
        <v>3</v>
      </c>
      <c r="J96" s="33">
        <v>3</v>
      </c>
      <c r="K96" s="33">
        <v>3</v>
      </c>
      <c r="L96" s="33">
        <v>3</v>
      </c>
      <c r="M96" s="33">
        <v>3</v>
      </c>
      <c r="N96" s="33">
        <v>3</v>
      </c>
      <c r="O96" s="29">
        <v>0</v>
      </c>
      <c r="P96" s="31">
        <v>0</v>
      </c>
      <c r="Q96" s="31">
        <v>0</v>
      </c>
      <c r="R96" s="31">
        <v>0</v>
      </c>
      <c r="S96" s="31">
        <v>0</v>
      </c>
      <c r="T96" s="31">
        <v>0</v>
      </c>
      <c r="U96" s="31">
        <v>0</v>
      </c>
      <c r="V96" s="8">
        <v>0</v>
      </c>
      <c r="W96" s="8">
        <v>0</v>
      </c>
      <c r="X96" s="8">
        <v>0</v>
      </c>
    </row>
    <row r="97" spans="1:24" ht="17.25" customHeight="1" x14ac:dyDescent="0.35">
      <c r="A97" s="45"/>
      <c r="B97" s="45"/>
      <c r="C97" s="46" t="s">
        <v>97</v>
      </c>
      <c r="D97" s="46"/>
      <c r="E97" s="41" t="s">
        <v>22</v>
      </c>
      <c r="F97" s="42"/>
      <c r="G97" s="8">
        <f t="shared" si="4"/>
        <v>2</v>
      </c>
      <c r="H97" s="33">
        <v>2</v>
      </c>
      <c r="I97" s="33">
        <v>2</v>
      </c>
      <c r="J97" s="33">
        <v>2</v>
      </c>
      <c r="K97" s="33">
        <v>2</v>
      </c>
      <c r="L97" s="33">
        <v>2</v>
      </c>
      <c r="M97" s="33">
        <v>2</v>
      </c>
      <c r="N97" s="33">
        <v>2</v>
      </c>
      <c r="O97" s="33">
        <v>2</v>
      </c>
      <c r="P97" s="29">
        <v>0</v>
      </c>
      <c r="Q97" s="31">
        <v>0</v>
      </c>
      <c r="R97" s="31">
        <v>0</v>
      </c>
      <c r="S97" s="31">
        <v>0</v>
      </c>
      <c r="T97" s="31">
        <v>0</v>
      </c>
      <c r="U97" s="31">
        <v>0</v>
      </c>
      <c r="V97" s="8">
        <v>0</v>
      </c>
      <c r="W97" s="8">
        <v>0</v>
      </c>
      <c r="X97" s="8">
        <v>0</v>
      </c>
    </row>
    <row r="98" spans="1:24" ht="17.25" customHeight="1" x14ac:dyDescent="0.35">
      <c r="A98" s="45"/>
      <c r="B98" s="45"/>
      <c r="C98" s="46" t="s">
        <v>98</v>
      </c>
      <c r="D98" s="46"/>
      <c r="E98" s="41" t="s">
        <v>22</v>
      </c>
      <c r="F98" s="42"/>
      <c r="G98" s="8">
        <f t="shared" si="4"/>
        <v>2</v>
      </c>
      <c r="H98" s="33">
        <v>2</v>
      </c>
      <c r="I98" s="33">
        <v>2</v>
      </c>
      <c r="J98" s="33">
        <v>2</v>
      </c>
      <c r="K98" s="33">
        <v>2</v>
      </c>
      <c r="L98" s="33">
        <v>2</v>
      </c>
      <c r="M98" s="33">
        <v>2</v>
      </c>
      <c r="N98" s="33">
        <v>2</v>
      </c>
      <c r="O98" s="33">
        <v>2</v>
      </c>
      <c r="P98" s="33">
        <v>2</v>
      </c>
      <c r="Q98" s="29">
        <v>0</v>
      </c>
      <c r="R98" s="31">
        <v>0</v>
      </c>
      <c r="S98" s="31">
        <v>0</v>
      </c>
      <c r="T98" s="31">
        <v>0</v>
      </c>
      <c r="U98" s="31">
        <v>0</v>
      </c>
      <c r="V98" s="8">
        <v>0</v>
      </c>
      <c r="W98" s="8">
        <v>0</v>
      </c>
      <c r="X98" s="8">
        <v>0</v>
      </c>
    </row>
    <row r="99" spans="1:24" ht="17.25" customHeight="1" x14ac:dyDescent="0.35">
      <c r="A99" s="45"/>
      <c r="B99" s="45"/>
      <c r="C99" s="46" t="s">
        <v>99</v>
      </c>
      <c r="D99" s="46"/>
      <c r="E99" s="41" t="s">
        <v>22</v>
      </c>
      <c r="F99" s="42"/>
      <c r="G99" s="8">
        <f t="shared" si="4"/>
        <v>2</v>
      </c>
      <c r="H99" s="33">
        <v>2</v>
      </c>
      <c r="I99" s="33">
        <v>2</v>
      </c>
      <c r="J99" s="33">
        <v>2</v>
      </c>
      <c r="K99" s="33">
        <v>2</v>
      </c>
      <c r="L99" s="33">
        <v>2</v>
      </c>
      <c r="M99" s="33">
        <v>2</v>
      </c>
      <c r="N99" s="33">
        <v>2</v>
      </c>
      <c r="O99" s="33">
        <v>2</v>
      </c>
      <c r="P99" s="33">
        <v>2</v>
      </c>
      <c r="Q99" s="33">
        <v>2</v>
      </c>
      <c r="R99" s="29">
        <v>0</v>
      </c>
      <c r="S99" s="31">
        <v>0</v>
      </c>
      <c r="T99" s="31">
        <v>0</v>
      </c>
      <c r="U99" s="31">
        <v>0</v>
      </c>
      <c r="V99" s="8">
        <v>0</v>
      </c>
      <c r="W99" s="8">
        <v>0</v>
      </c>
      <c r="X99" s="8">
        <v>0</v>
      </c>
    </row>
    <row r="100" spans="1:24" ht="17.25" customHeight="1" x14ac:dyDescent="0.35">
      <c r="A100" s="45"/>
      <c r="B100" s="45"/>
      <c r="C100" s="46" t="s">
        <v>100</v>
      </c>
      <c r="D100" s="46"/>
      <c r="E100" s="41" t="s">
        <v>22</v>
      </c>
      <c r="F100" s="42"/>
      <c r="G100" s="8">
        <f t="shared" si="4"/>
        <v>2</v>
      </c>
      <c r="H100" s="33">
        <v>2</v>
      </c>
      <c r="I100" s="33">
        <v>2</v>
      </c>
      <c r="J100" s="33">
        <v>2</v>
      </c>
      <c r="K100" s="33">
        <v>2</v>
      </c>
      <c r="L100" s="33">
        <v>2</v>
      </c>
      <c r="M100" s="33">
        <v>2</v>
      </c>
      <c r="N100" s="33">
        <v>2</v>
      </c>
      <c r="O100" s="33">
        <v>2</v>
      </c>
      <c r="P100" s="33">
        <v>2</v>
      </c>
      <c r="Q100" s="33">
        <v>2</v>
      </c>
      <c r="R100" s="33">
        <v>2</v>
      </c>
      <c r="S100" s="29">
        <v>0</v>
      </c>
      <c r="T100" s="31">
        <v>0</v>
      </c>
      <c r="U100" s="31">
        <v>0</v>
      </c>
      <c r="V100" s="8">
        <v>0</v>
      </c>
      <c r="W100" s="8">
        <v>0</v>
      </c>
      <c r="X100" s="8">
        <v>0</v>
      </c>
    </row>
    <row r="101" spans="1:24" ht="17.25" customHeight="1" x14ac:dyDescent="0.35">
      <c r="A101" s="45"/>
      <c r="B101" s="45"/>
      <c r="C101" s="46" t="s">
        <v>172</v>
      </c>
      <c r="D101" s="46"/>
      <c r="E101" s="41" t="s">
        <v>22</v>
      </c>
      <c r="F101" s="42"/>
      <c r="G101" s="8">
        <f t="shared" si="4"/>
        <v>4</v>
      </c>
      <c r="H101" s="33">
        <v>4</v>
      </c>
      <c r="I101" s="33">
        <v>4</v>
      </c>
      <c r="J101" s="33">
        <v>4</v>
      </c>
      <c r="K101" s="33">
        <v>4</v>
      </c>
      <c r="L101" s="33">
        <v>4</v>
      </c>
      <c r="M101" s="33">
        <v>4</v>
      </c>
      <c r="N101" s="33">
        <v>4</v>
      </c>
      <c r="O101" s="33">
        <v>4</v>
      </c>
      <c r="P101" s="33">
        <v>4</v>
      </c>
      <c r="Q101" s="33">
        <v>4</v>
      </c>
      <c r="R101" s="33">
        <v>4</v>
      </c>
      <c r="S101" s="33">
        <v>4</v>
      </c>
      <c r="T101" s="29">
        <v>0</v>
      </c>
      <c r="U101" s="8">
        <v>0</v>
      </c>
      <c r="V101" s="8">
        <v>0</v>
      </c>
      <c r="W101" s="8">
        <v>0</v>
      </c>
      <c r="X101" s="8">
        <v>0</v>
      </c>
    </row>
    <row r="102" spans="1:24" ht="17.25" customHeight="1" x14ac:dyDescent="0.35">
      <c r="A102" s="45"/>
      <c r="B102" s="45"/>
      <c r="C102" s="46" t="s">
        <v>171</v>
      </c>
      <c r="D102" s="46"/>
      <c r="E102" s="41" t="s">
        <v>22</v>
      </c>
      <c r="F102" s="42"/>
      <c r="G102" s="8">
        <f t="shared" si="4"/>
        <v>2</v>
      </c>
      <c r="H102" s="33">
        <v>2</v>
      </c>
      <c r="I102" s="33">
        <v>2</v>
      </c>
      <c r="J102" s="33">
        <v>2</v>
      </c>
      <c r="K102" s="33">
        <v>2</v>
      </c>
      <c r="L102" s="33">
        <v>2</v>
      </c>
      <c r="M102" s="33">
        <v>2</v>
      </c>
      <c r="N102" s="33">
        <v>2</v>
      </c>
      <c r="O102" s="33">
        <v>2</v>
      </c>
      <c r="P102" s="33">
        <v>2</v>
      </c>
      <c r="Q102" s="33">
        <v>2</v>
      </c>
      <c r="R102" s="33">
        <v>2</v>
      </c>
      <c r="S102" s="33">
        <v>2</v>
      </c>
      <c r="T102" s="33">
        <v>2</v>
      </c>
      <c r="U102" s="29">
        <v>0</v>
      </c>
      <c r="V102" s="31">
        <v>0</v>
      </c>
      <c r="W102" s="8">
        <v>0</v>
      </c>
      <c r="X102" s="8">
        <v>0</v>
      </c>
    </row>
    <row r="103" spans="1:24" ht="17.25" customHeight="1" x14ac:dyDescent="0.35">
      <c r="A103" s="45"/>
      <c r="B103" s="45"/>
      <c r="C103" s="46" t="s">
        <v>170</v>
      </c>
      <c r="D103" s="46"/>
      <c r="E103" s="41" t="s">
        <v>22</v>
      </c>
      <c r="F103" s="42"/>
      <c r="G103" s="8">
        <f t="shared" ref="G103:G141" si="6">H103</f>
        <v>2</v>
      </c>
      <c r="H103" s="33">
        <v>2</v>
      </c>
      <c r="I103" s="8">
        <v>2</v>
      </c>
      <c r="J103" s="8">
        <v>2</v>
      </c>
      <c r="K103" s="8">
        <v>2</v>
      </c>
      <c r="L103" s="8">
        <v>2</v>
      </c>
      <c r="M103" s="8">
        <v>2</v>
      </c>
      <c r="N103" s="8">
        <v>2</v>
      </c>
      <c r="O103" s="8">
        <v>2</v>
      </c>
      <c r="P103" s="8">
        <v>2</v>
      </c>
      <c r="Q103" s="8">
        <v>2</v>
      </c>
      <c r="R103" s="8">
        <v>2</v>
      </c>
      <c r="S103" s="8">
        <v>2</v>
      </c>
      <c r="T103" s="8">
        <v>2</v>
      </c>
      <c r="U103" s="8">
        <v>2</v>
      </c>
      <c r="V103" s="29">
        <v>0</v>
      </c>
      <c r="W103" s="8">
        <v>0</v>
      </c>
      <c r="X103" s="8">
        <v>0</v>
      </c>
    </row>
    <row r="104" spans="1:24" ht="17.25" customHeight="1" x14ac:dyDescent="0.35">
      <c r="A104" s="45"/>
      <c r="B104" s="45"/>
      <c r="C104" s="46" t="s">
        <v>169</v>
      </c>
      <c r="D104" s="46"/>
      <c r="E104" s="41" t="s">
        <v>22</v>
      </c>
      <c r="F104" s="42"/>
      <c r="G104" s="8">
        <v>1</v>
      </c>
      <c r="H104" s="33">
        <v>1</v>
      </c>
      <c r="I104" s="33">
        <v>1</v>
      </c>
      <c r="J104" s="33">
        <v>1</v>
      </c>
      <c r="K104" s="33">
        <v>1</v>
      </c>
      <c r="L104" s="33">
        <v>1</v>
      </c>
      <c r="M104" s="33">
        <v>1</v>
      </c>
      <c r="N104" s="33">
        <v>1</v>
      </c>
      <c r="O104" s="33">
        <v>1</v>
      </c>
      <c r="P104" s="33">
        <v>1</v>
      </c>
      <c r="Q104" s="33">
        <v>1</v>
      </c>
      <c r="R104" s="33">
        <v>1</v>
      </c>
      <c r="S104" s="33">
        <v>1</v>
      </c>
      <c r="T104" s="33">
        <v>1</v>
      </c>
      <c r="U104" s="33">
        <v>1</v>
      </c>
      <c r="V104" s="29">
        <v>0</v>
      </c>
      <c r="W104" s="31">
        <v>0</v>
      </c>
      <c r="X104" s="8">
        <v>0</v>
      </c>
    </row>
    <row r="105" spans="1:24" ht="17.25" customHeight="1" x14ac:dyDescent="0.35">
      <c r="A105" s="45"/>
      <c r="B105" s="45"/>
      <c r="C105" s="46" t="s">
        <v>168</v>
      </c>
      <c r="D105" s="46"/>
      <c r="E105" s="41" t="s">
        <v>63</v>
      </c>
      <c r="F105" s="42"/>
      <c r="G105" s="8">
        <v>2</v>
      </c>
      <c r="H105" s="33">
        <v>2</v>
      </c>
      <c r="I105" s="8">
        <v>2</v>
      </c>
      <c r="J105" s="8">
        <v>2</v>
      </c>
      <c r="K105" s="8">
        <v>2</v>
      </c>
      <c r="L105" s="8">
        <v>2</v>
      </c>
      <c r="M105" s="8">
        <v>2</v>
      </c>
      <c r="N105" s="8">
        <v>2</v>
      </c>
      <c r="O105" s="8">
        <v>2</v>
      </c>
      <c r="P105" s="8">
        <v>2</v>
      </c>
      <c r="Q105" s="8">
        <v>2</v>
      </c>
      <c r="R105" s="8">
        <v>2</v>
      </c>
      <c r="S105" s="8">
        <v>2</v>
      </c>
      <c r="T105" s="8">
        <v>2</v>
      </c>
      <c r="U105" s="8">
        <v>2</v>
      </c>
      <c r="V105" s="8">
        <v>2</v>
      </c>
      <c r="W105" s="29">
        <v>0</v>
      </c>
      <c r="X105" s="8">
        <v>0</v>
      </c>
    </row>
    <row r="106" spans="1:24" ht="17.25" customHeight="1" x14ac:dyDescent="0.35">
      <c r="A106" s="45"/>
      <c r="B106" s="45"/>
      <c r="C106" s="46" t="s">
        <v>101</v>
      </c>
      <c r="D106" s="46"/>
      <c r="E106" s="41" t="s">
        <v>63</v>
      </c>
      <c r="F106" s="42"/>
      <c r="G106" s="8">
        <v>1</v>
      </c>
      <c r="H106" s="33">
        <v>2</v>
      </c>
      <c r="I106" s="8">
        <v>1</v>
      </c>
      <c r="J106" s="8">
        <v>1</v>
      </c>
      <c r="K106" s="8">
        <v>1</v>
      </c>
      <c r="L106" s="8">
        <v>1</v>
      </c>
      <c r="M106" s="8">
        <v>1</v>
      </c>
      <c r="N106" s="8">
        <v>1</v>
      </c>
      <c r="O106" s="8">
        <v>1</v>
      </c>
      <c r="P106" s="8">
        <v>1</v>
      </c>
      <c r="Q106" s="8">
        <v>1</v>
      </c>
      <c r="R106" s="8">
        <v>1</v>
      </c>
      <c r="S106" s="8">
        <v>1</v>
      </c>
      <c r="T106" s="8">
        <v>1</v>
      </c>
      <c r="U106" s="8">
        <v>1</v>
      </c>
      <c r="V106" s="8">
        <v>1</v>
      </c>
      <c r="W106" s="8">
        <v>1</v>
      </c>
      <c r="X106" s="8">
        <v>0</v>
      </c>
    </row>
    <row r="107" spans="1:24" ht="17.25" customHeight="1" x14ac:dyDescent="0.35">
      <c r="A107" s="45"/>
      <c r="B107" s="53"/>
      <c r="C107" s="46" t="s">
        <v>167</v>
      </c>
      <c r="D107" s="46"/>
      <c r="E107" s="41" t="s">
        <v>63</v>
      </c>
      <c r="F107" s="42"/>
      <c r="G107" s="8">
        <f t="shared" si="6"/>
        <v>2</v>
      </c>
      <c r="H107" s="33">
        <v>2</v>
      </c>
      <c r="I107" s="8">
        <v>2</v>
      </c>
      <c r="J107" s="8">
        <v>2</v>
      </c>
      <c r="K107" s="8">
        <v>2</v>
      </c>
      <c r="L107" s="8">
        <v>2</v>
      </c>
      <c r="M107" s="8">
        <v>2</v>
      </c>
      <c r="N107" s="8">
        <v>2</v>
      </c>
      <c r="O107" s="8">
        <v>2</v>
      </c>
      <c r="P107" s="8">
        <v>2</v>
      </c>
      <c r="Q107" s="8">
        <v>2</v>
      </c>
      <c r="R107" s="8">
        <v>2</v>
      </c>
      <c r="S107" s="8">
        <v>2</v>
      </c>
      <c r="T107" s="8">
        <v>2</v>
      </c>
      <c r="U107" s="8">
        <v>2</v>
      </c>
      <c r="V107" s="8">
        <v>2</v>
      </c>
      <c r="W107" s="8">
        <v>2</v>
      </c>
      <c r="X107" s="29">
        <v>0</v>
      </c>
    </row>
    <row r="108" spans="1:24" ht="17.25" customHeight="1" x14ac:dyDescent="0.35">
      <c r="A108" s="45"/>
      <c r="B108" s="53" t="s">
        <v>102</v>
      </c>
      <c r="C108" s="43" t="s">
        <v>103</v>
      </c>
      <c r="D108" s="44"/>
      <c r="E108" s="45" t="s">
        <v>18</v>
      </c>
      <c r="F108" s="45"/>
      <c r="G108" s="33">
        <v>2</v>
      </c>
      <c r="H108" s="33">
        <v>2</v>
      </c>
      <c r="I108" s="33">
        <v>2</v>
      </c>
      <c r="J108" s="33">
        <v>2</v>
      </c>
      <c r="K108" s="33">
        <v>2</v>
      </c>
      <c r="L108" s="29">
        <v>0</v>
      </c>
      <c r="M108" s="8">
        <v>0</v>
      </c>
      <c r="N108" s="8">
        <v>0</v>
      </c>
      <c r="O108" s="8">
        <v>0</v>
      </c>
      <c r="P108" s="8">
        <v>0</v>
      </c>
      <c r="Q108" s="8">
        <v>0</v>
      </c>
      <c r="R108" s="8">
        <v>0</v>
      </c>
      <c r="S108" s="8">
        <v>0</v>
      </c>
      <c r="T108" s="8">
        <v>0</v>
      </c>
      <c r="U108" s="8">
        <v>0</v>
      </c>
      <c r="V108" s="8">
        <v>0</v>
      </c>
      <c r="W108" s="8">
        <v>0</v>
      </c>
      <c r="X108" s="8">
        <v>0</v>
      </c>
    </row>
    <row r="109" spans="1:24" ht="17.25" customHeight="1" x14ac:dyDescent="0.35">
      <c r="A109" s="45"/>
      <c r="B109" s="45"/>
      <c r="C109" s="43" t="s">
        <v>181</v>
      </c>
      <c r="D109" s="44"/>
      <c r="E109" s="45" t="s">
        <v>18</v>
      </c>
      <c r="F109" s="45"/>
      <c r="G109" s="33">
        <v>0</v>
      </c>
      <c r="H109" s="34">
        <v>0</v>
      </c>
      <c r="I109" s="34">
        <v>0</v>
      </c>
      <c r="J109" s="34">
        <v>0</v>
      </c>
      <c r="K109" s="34">
        <v>0</v>
      </c>
      <c r="L109" s="34">
        <v>0</v>
      </c>
      <c r="M109" s="34">
        <v>0</v>
      </c>
      <c r="N109" s="34">
        <v>0</v>
      </c>
      <c r="O109" s="34">
        <v>0</v>
      </c>
      <c r="P109" s="34">
        <v>0</v>
      </c>
      <c r="Q109" s="34">
        <v>0</v>
      </c>
      <c r="R109" s="34">
        <v>0</v>
      </c>
      <c r="S109" s="34">
        <v>0</v>
      </c>
      <c r="T109" s="34">
        <v>0</v>
      </c>
      <c r="U109" s="34">
        <v>0</v>
      </c>
      <c r="V109" s="34">
        <v>0</v>
      </c>
      <c r="W109" s="34">
        <v>0</v>
      </c>
      <c r="X109" s="35">
        <v>0</v>
      </c>
    </row>
    <row r="110" spans="1:24" ht="17.25" customHeight="1" x14ac:dyDescent="0.35">
      <c r="A110" s="45"/>
      <c r="B110" s="45"/>
      <c r="C110" s="43" t="s">
        <v>104</v>
      </c>
      <c r="D110" s="44"/>
      <c r="E110" s="45" t="s">
        <v>18</v>
      </c>
      <c r="F110" s="45"/>
      <c r="G110" s="33">
        <v>0</v>
      </c>
      <c r="H110" s="33">
        <v>0</v>
      </c>
      <c r="I110" s="33">
        <v>0</v>
      </c>
      <c r="J110" s="33">
        <v>0</v>
      </c>
      <c r="K110" s="33">
        <v>0</v>
      </c>
      <c r="L110" s="33">
        <v>0</v>
      </c>
      <c r="M110" s="33">
        <v>0</v>
      </c>
      <c r="N110" s="33">
        <v>0</v>
      </c>
      <c r="O110" s="33">
        <v>0</v>
      </c>
      <c r="P110" s="33">
        <v>0</v>
      </c>
      <c r="Q110" s="33">
        <v>0</v>
      </c>
      <c r="R110" s="33">
        <v>0</v>
      </c>
      <c r="S110" s="33">
        <v>0</v>
      </c>
      <c r="T110" s="33">
        <v>0</v>
      </c>
      <c r="U110" s="33">
        <v>0</v>
      </c>
      <c r="V110" s="33">
        <v>0</v>
      </c>
      <c r="W110" s="33">
        <v>0</v>
      </c>
      <c r="X110" s="33">
        <v>0</v>
      </c>
    </row>
    <row r="111" spans="1:24" ht="17.25" customHeight="1" x14ac:dyDescent="0.35">
      <c r="A111" s="45"/>
      <c r="B111" s="45"/>
      <c r="C111" s="43" t="s">
        <v>105</v>
      </c>
      <c r="D111" s="44"/>
      <c r="E111" s="45" t="s">
        <v>18</v>
      </c>
      <c r="F111" s="45"/>
      <c r="G111" s="33">
        <v>0</v>
      </c>
      <c r="H111" s="33">
        <v>0</v>
      </c>
      <c r="I111" s="33">
        <v>0</v>
      </c>
      <c r="J111" s="33">
        <v>0</v>
      </c>
      <c r="K111" s="33">
        <v>0</v>
      </c>
      <c r="L111" s="33">
        <v>0</v>
      </c>
      <c r="M111" s="33">
        <v>0</v>
      </c>
      <c r="N111" s="33">
        <v>0</v>
      </c>
      <c r="O111" s="33">
        <v>0</v>
      </c>
      <c r="P111" s="33">
        <v>0</v>
      </c>
      <c r="Q111" s="33">
        <v>0</v>
      </c>
      <c r="R111" s="33">
        <v>0</v>
      </c>
      <c r="S111" s="33">
        <v>0</v>
      </c>
      <c r="T111" s="33">
        <v>0</v>
      </c>
      <c r="U111" s="33">
        <v>0</v>
      </c>
      <c r="V111" s="33">
        <v>0</v>
      </c>
      <c r="W111" s="33">
        <v>0</v>
      </c>
      <c r="X111" s="33">
        <v>0</v>
      </c>
    </row>
    <row r="112" spans="1:24" ht="17.25" customHeight="1" x14ac:dyDescent="0.35">
      <c r="A112" s="45"/>
      <c r="B112" s="45"/>
      <c r="C112" s="43" t="s">
        <v>106</v>
      </c>
      <c r="D112" s="44"/>
      <c r="E112" s="45" t="s">
        <v>18</v>
      </c>
      <c r="F112" s="45"/>
      <c r="G112" s="33">
        <v>0</v>
      </c>
      <c r="H112" s="33">
        <v>0</v>
      </c>
      <c r="I112" s="33">
        <v>0</v>
      </c>
      <c r="J112" s="33">
        <v>0</v>
      </c>
      <c r="K112" s="33">
        <v>0</v>
      </c>
      <c r="L112" s="33">
        <v>0</v>
      </c>
      <c r="M112" s="33">
        <v>0</v>
      </c>
      <c r="N112" s="33">
        <v>0</v>
      </c>
      <c r="O112" s="33">
        <v>0</v>
      </c>
      <c r="P112" s="33">
        <v>0</v>
      </c>
      <c r="Q112" s="33">
        <v>0</v>
      </c>
      <c r="R112" s="33">
        <v>0</v>
      </c>
      <c r="S112" s="33">
        <v>0</v>
      </c>
      <c r="T112" s="33">
        <v>0</v>
      </c>
      <c r="U112" s="33">
        <v>0</v>
      </c>
      <c r="V112" s="33">
        <v>0</v>
      </c>
      <c r="W112" s="33">
        <v>0</v>
      </c>
      <c r="X112" s="33">
        <v>0</v>
      </c>
    </row>
    <row r="113" spans="1:24" ht="17.25" customHeight="1" x14ac:dyDescent="0.35">
      <c r="A113" s="45"/>
      <c r="B113" s="45"/>
      <c r="C113" s="43" t="s">
        <v>107</v>
      </c>
      <c r="D113" s="44"/>
      <c r="E113" s="45" t="s">
        <v>18</v>
      </c>
      <c r="F113" s="45"/>
      <c r="G113" s="33">
        <v>0</v>
      </c>
      <c r="H113" s="33">
        <v>0</v>
      </c>
      <c r="I113" s="33">
        <v>0</v>
      </c>
      <c r="J113" s="33">
        <v>0</v>
      </c>
      <c r="K113" s="33">
        <v>0</v>
      </c>
      <c r="L113" s="33">
        <v>0</v>
      </c>
      <c r="M113" s="33">
        <v>0</v>
      </c>
      <c r="N113" s="33">
        <v>0</v>
      </c>
      <c r="O113" s="33">
        <v>0</v>
      </c>
      <c r="P113" s="33">
        <v>0</v>
      </c>
      <c r="Q113" s="33">
        <v>0</v>
      </c>
      <c r="R113" s="33">
        <v>0</v>
      </c>
      <c r="S113" s="33">
        <v>0</v>
      </c>
      <c r="T113" s="33">
        <v>0</v>
      </c>
      <c r="U113" s="33">
        <v>0</v>
      </c>
      <c r="V113" s="33">
        <v>0</v>
      </c>
      <c r="W113" s="33">
        <v>0</v>
      </c>
      <c r="X113" s="33">
        <v>0</v>
      </c>
    </row>
    <row r="114" spans="1:24" ht="17.25" customHeight="1" x14ac:dyDescent="0.35">
      <c r="A114" s="45"/>
      <c r="B114" s="45"/>
      <c r="C114" s="43" t="s">
        <v>108</v>
      </c>
      <c r="D114" s="44"/>
      <c r="E114" s="45" t="s">
        <v>18</v>
      </c>
      <c r="F114" s="45"/>
      <c r="G114" s="33">
        <v>0</v>
      </c>
      <c r="H114" s="33">
        <v>0</v>
      </c>
      <c r="I114" s="33">
        <v>0</v>
      </c>
      <c r="J114" s="33">
        <v>0</v>
      </c>
      <c r="K114" s="33">
        <v>0</v>
      </c>
      <c r="L114" s="33">
        <v>0</v>
      </c>
      <c r="M114" s="33">
        <v>0</v>
      </c>
      <c r="N114" s="33">
        <v>0</v>
      </c>
      <c r="O114" s="33">
        <v>0</v>
      </c>
      <c r="P114" s="33">
        <v>0</v>
      </c>
      <c r="Q114" s="33">
        <v>0</v>
      </c>
      <c r="R114" s="33">
        <v>0</v>
      </c>
      <c r="S114" s="33">
        <v>0</v>
      </c>
      <c r="T114" s="33">
        <v>0</v>
      </c>
      <c r="U114" s="33">
        <v>0</v>
      </c>
      <c r="V114" s="33">
        <v>0</v>
      </c>
      <c r="W114" s="33">
        <v>0</v>
      </c>
      <c r="X114" s="33">
        <v>0</v>
      </c>
    </row>
    <row r="115" spans="1:24" ht="17.25" customHeight="1" x14ac:dyDescent="0.35">
      <c r="A115" s="45"/>
      <c r="B115" s="45"/>
      <c r="C115" s="43" t="s">
        <v>109</v>
      </c>
      <c r="D115" s="44"/>
      <c r="E115" s="45" t="s">
        <v>18</v>
      </c>
      <c r="F115" s="45"/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X115" s="33">
        <v>0</v>
      </c>
    </row>
    <row r="116" spans="1:24" ht="17.25" customHeight="1" x14ac:dyDescent="0.35">
      <c r="A116" s="45"/>
      <c r="B116" s="45"/>
      <c r="C116" s="43" t="s">
        <v>110</v>
      </c>
      <c r="D116" s="44"/>
      <c r="E116" s="45" t="s">
        <v>18</v>
      </c>
      <c r="F116" s="45"/>
      <c r="G116" s="33">
        <v>0</v>
      </c>
      <c r="H116" s="33">
        <v>0</v>
      </c>
      <c r="I116" s="33">
        <v>0</v>
      </c>
      <c r="J116" s="33">
        <v>0</v>
      </c>
      <c r="K116" s="33">
        <v>0</v>
      </c>
      <c r="L116" s="33">
        <v>0</v>
      </c>
      <c r="M116" s="33">
        <v>0</v>
      </c>
      <c r="N116" s="33">
        <v>0</v>
      </c>
      <c r="O116" s="33">
        <v>0</v>
      </c>
      <c r="P116" s="33">
        <v>0</v>
      </c>
      <c r="Q116" s="33">
        <v>0</v>
      </c>
      <c r="R116" s="33">
        <v>0</v>
      </c>
      <c r="S116" s="33">
        <v>0</v>
      </c>
      <c r="T116" s="33">
        <v>0</v>
      </c>
      <c r="U116" s="33">
        <v>0</v>
      </c>
      <c r="V116" s="33">
        <v>0</v>
      </c>
      <c r="W116" s="33">
        <v>0</v>
      </c>
      <c r="X116" s="33">
        <v>0</v>
      </c>
    </row>
    <row r="117" spans="1:24" ht="17.25" customHeight="1" x14ac:dyDescent="0.35">
      <c r="A117" s="45"/>
      <c r="B117" s="45"/>
      <c r="C117" s="43" t="s">
        <v>111</v>
      </c>
      <c r="D117" s="44"/>
      <c r="E117" s="45" t="s">
        <v>18</v>
      </c>
      <c r="F117" s="45"/>
      <c r="G117" s="33">
        <v>0</v>
      </c>
      <c r="H117" s="33">
        <v>0</v>
      </c>
      <c r="I117" s="33">
        <v>0</v>
      </c>
      <c r="J117" s="33">
        <v>0</v>
      </c>
      <c r="K117" s="33">
        <v>0</v>
      </c>
      <c r="L117" s="33">
        <v>0</v>
      </c>
      <c r="M117" s="33">
        <v>0</v>
      </c>
      <c r="N117" s="33">
        <v>0</v>
      </c>
      <c r="O117" s="33">
        <v>0</v>
      </c>
      <c r="P117" s="33">
        <v>0</v>
      </c>
      <c r="Q117" s="33">
        <v>0</v>
      </c>
      <c r="R117" s="33">
        <v>0</v>
      </c>
      <c r="S117" s="33">
        <v>0</v>
      </c>
      <c r="T117" s="33">
        <v>0</v>
      </c>
      <c r="U117" s="33">
        <v>0</v>
      </c>
      <c r="V117" s="33">
        <v>0</v>
      </c>
      <c r="W117" s="33">
        <v>0</v>
      </c>
      <c r="X117" s="33">
        <v>0</v>
      </c>
    </row>
    <row r="118" spans="1:24" ht="17.25" customHeight="1" x14ac:dyDescent="0.35">
      <c r="A118" s="45"/>
      <c r="B118" s="45"/>
      <c r="C118" s="43" t="s">
        <v>112</v>
      </c>
      <c r="D118" s="44"/>
      <c r="E118" s="45" t="s">
        <v>18</v>
      </c>
      <c r="F118" s="45"/>
      <c r="G118" s="33">
        <v>0</v>
      </c>
      <c r="H118" s="33">
        <v>0</v>
      </c>
      <c r="I118" s="33">
        <v>0</v>
      </c>
      <c r="J118" s="33">
        <v>0</v>
      </c>
      <c r="K118" s="33">
        <v>0</v>
      </c>
      <c r="L118" s="33">
        <v>0</v>
      </c>
      <c r="M118" s="33">
        <v>0</v>
      </c>
      <c r="N118" s="33">
        <v>0</v>
      </c>
      <c r="O118" s="33">
        <v>0</v>
      </c>
      <c r="P118" s="33">
        <v>0</v>
      </c>
      <c r="Q118" s="33">
        <v>0</v>
      </c>
      <c r="R118" s="33">
        <v>0</v>
      </c>
      <c r="S118" s="33">
        <v>0</v>
      </c>
      <c r="T118" s="33">
        <v>0</v>
      </c>
      <c r="U118" s="33">
        <v>0</v>
      </c>
      <c r="V118" s="33">
        <v>0</v>
      </c>
      <c r="W118" s="33">
        <v>0</v>
      </c>
      <c r="X118" s="33">
        <v>0</v>
      </c>
    </row>
    <row r="119" spans="1:24" ht="17.25" customHeight="1" x14ac:dyDescent="0.35">
      <c r="A119" s="45"/>
      <c r="B119" s="45"/>
      <c r="C119" s="43" t="s">
        <v>182</v>
      </c>
      <c r="D119" s="44"/>
      <c r="E119" s="45" t="s">
        <v>18</v>
      </c>
      <c r="F119" s="45"/>
      <c r="G119" s="33">
        <v>0</v>
      </c>
      <c r="H119" s="33">
        <v>0</v>
      </c>
      <c r="I119" s="33">
        <v>0</v>
      </c>
      <c r="J119" s="33">
        <v>0</v>
      </c>
      <c r="K119" s="33">
        <v>0</v>
      </c>
      <c r="L119" s="33">
        <v>0</v>
      </c>
      <c r="M119" s="33">
        <v>0</v>
      </c>
      <c r="N119" s="33">
        <v>0</v>
      </c>
      <c r="O119" s="33">
        <v>0</v>
      </c>
      <c r="P119" s="33">
        <v>0</v>
      </c>
      <c r="Q119" s="33">
        <v>0</v>
      </c>
      <c r="R119" s="33">
        <v>0</v>
      </c>
      <c r="S119" s="33">
        <v>0</v>
      </c>
      <c r="T119" s="33">
        <v>0</v>
      </c>
      <c r="U119" s="33">
        <v>0</v>
      </c>
      <c r="V119" s="33">
        <v>0</v>
      </c>
      <c r="W119" s="33">
        <v>0</v>
      </c>
      <c r="X119" s="33">
        <v>0</v>
      </c>
    </row>
    <row r="120" spans="1:24" ht="17.25" customHeight="1" x14ac:dyDescent="0.35">
      <c r="A120" s="45"/>
      <c r="B120" s="45"/>
      <c r="C120" s="43" t="s">
        <v>183</v>
      </c>
      <c r="D120" s="44"/>
      <c r="E120" s="45" t="s">
        <v>18</v>
      </c>
      <c r="F120" s="45"/>
      <c r="G120" s="33">
        <v>0</v>
      </c>
      <c r="H120" s="33">
        <v>0</v>
      </c>
      <c r="I120" s="33">
        <v>0</v>
      </c>
      <c r="J120" s="33">
        <v>0</v>
      </c>
      <c r="K120" s="33">
        <v>0</v>
      </c>
      <c r="L120" s="33">
        <v>0</v>
      </c>
      <c r="M120" s="33">
        <v>0</v>
      </c>
      <c r="N120" s="33">
        <v>0</v>
      </c>
      <c r="O120" s="33">
        <v>0</v>
      </c>
      <c r="P120" s="33">
        <v>0</v>
      </c>
      <c r="Q120" s="33">
        <v>0</v>
      </c>
      <c r="R120" s="33">
        <v>0</v>
      </c>
      <c r="S120" s="33">
        <v>0</v>
      </c>
      <c r="T120" s="33">
        <v>0</v>
      </c>
      <c r="U120" s="33">
        <v>0</v>
      </c>
      <c r="V120" s="33">
        <v>0</v>
      </c>
      <c r="W120" s="33">
        <v>0</v>
      </c>
      <c r="X120" s="33">
        <v>0</v>
      </c>
    </row>
    <row r="121" spans="1:24" ht="17.25" customHeight="1" x14ac:dyDescent="0.35">
      <c r="A121" s="45"/>
      <c r="B121" s="45"/>
      <c r="C121" s="43" t="s">
        <v>113</v>
      </c>
      <c r="D121" s="44"/>
      <c r="E121" s="45" t="s">
        <v>18</v>
      </c>
      <c r="F121" s="45"/>
      <c r="G121" s="33">
        <v>0</v>
      </c>
      <c r="H121" s="33">
        <v>0</v>
      </c>
      <c r="I121" s="33">
        <v>0</v>
      </c>
      <c r="J121" s="33">
        <v>0</v>
      </c>
      <c r="K121" s="33">
        <v>0</v>
      </c>
      <c r="L121" s="33">
        <v>0</v>
      </c>
      <c r="M121" s="33">
        <v>0</v>
      </c>
      <c r="N121" s="33">
        <v>0</v>
      </c>
      <c r="O121" s="33">
        <v>0</v>
      </c>
      <c r="P121" s="33">
        <v>0</v>
      </c>
      <c r="Q121" s="33">
        <v>0</v>
      </c>
      <c r="R121" s="33">
        <v>0</v>
      </c>
      <c r="S121" s="33">
        <v>0</v>
      </c>
      <c r="T121" s="33">
        <v>0</v>
      </c>
      <c r="U121" s="33">
        <v>0</v>
      </c>
      <c r="V121" s="33">
        <v>0</v>
      </c>
      <c r="W121" s="33">
        <v>0</v>
      </c>
      <c r="X121" s="33">
        <v>0</v>
      </c>
    </row>
    <row r="122" spans="1:24" ht="17.25" customHeight="1" x14ac:dyDescent="0.35">
      <c r="A122" s="45"/>
      <c r="B122" s="45"/>
      <c r="C122" s="43" t="s">
        <v>114</v>
      </c>
      <c r="D122" s="44"/>
      <c r="E122" s="45" t="s">
        <v>18</v>
      </c>
      <c r="F122" s="45"/>
      <c r="G122" s="33">
        <v>1</v>
      </c>
      <c r="H122" s="33">
        <v>1</v>
      </c>
      <c r="I122" s="33">
        <v>1</v>
      </c>
      <c r="J122" s="33">
        <v>1</v>
      </c>
      <c r="K122" s="33">
        <v>1</v>
      </c>
      <c r="L122" s="33">
        <v>1</v>
      </c>
      <c r="M122" s="33">
        <v>1</v>
      </c>
      <c r="N122" s="33">
        <v>1</v>
      </c>
      <c r="O122" s="33">
        <v>1</v>
      </c>
      <c r="P122" s="33">
        <v>1</v>
      </c>
      <c r="Q122" s="33">
        <v>1</v>
      </c>
      <c r="R122" s="33">
        <v>1</v>
      </c>
      <c r="S122" s="33">
        <v>1</v>
      </c>
      <c r="T122" s="33">
        <v>1</v>
      </c>
      <c r="U122" s="33">
        <v>1</v>
      </c>
      <c r="V122" s="33">
        <v>1</v>
      </c>
      <c r="W122" s="33">
        <v>1</v>
      </c>
      <c r="X122" s="29">
        <v>0</v>
      </c>
    </row>
    <row r="123" spans="1:24" ht="17.25" customHeight="1" x14ac:dyDescent="0.35">
      <c r="A123" s="45"/>
      <c r="B123" s="53"/>
      <c r="C123" s="43" t="s">
        <v>184</v>
      </c>
      <c r="D123" s="44"/>
      <c r="E123" s="45" t="s">
        <v>18</v>
      </c>
      <c r="F123" s="45"/>
      <c r="G123" s="33">
        <v>0</v>
      </c>
      <c r="H123" s="33">
        <v>0</v>
      </c>
      <c r="I123" s="33">
        <v>0</v>
      </c>
      <c r="J123" s="33">
        <v>0</v>
      </c>
      <c r="K123" s="33">
        <v>0</v>
      </c>
      <c r="L123" s="33">
        <v>0</v>
      </c>
      <c r="M123" s="33">
        <v>0</v>
      </c>
      <c r="N123" s="33">
        <v>0</v>
      </c>
      <c r="O123" s="33">
        <v>0</v>
      </c>
      <c r="P123" s="33">
        <v>0</v>
      </c>
      <c r="Q123" s="33">
        <v>0</v>
      </c>
      <c r="R123" s="33">
        <v>0</v>
      </c>
      <c r="S123" s="33">
        <v>0</v>
      </c>
      <c r="T123" s="33">
        <v>0</v>
      </c>
      <c r="U123" s="33">
        <v>0</v>
      </c>
      <c r="V123" s="33">
        <v>0</v>
      </c>
      <c r="W123" s="33">
        <v>0</v>
      </c>
      <c r="X123" s="33">
        <v>0</v>
      </c>
    </row>
    <row r="124" spans="1:24" ht="17.25" customHeight="1" x14ac:dyDescent="0.35">
      <c r="A124" s="45"/>
      <c r="B124" s="53" t="s">
        <v>115</v>
      </c>
      <c r="C124" s="40" t="s">
        <v>116</v>
      </c>
      <c r="D124" s="40"/>
      <c r="E124" s="54" t="s">
        <v>22</v>
      </c>
      <c r="F124" s="54"/>
      <c r="G124" s="8">
        <f t="shared" si="6"/>
        <v>2</v>
      </c>
      <c r="H124" s="33">
        <v>2</v>
      </c>
      <c r="I124" s="8">
        <v>1</v>
      </c>
      <c r="J124" s="8">
        <v>1</v>
      </c>
      <c r="K124" s="8">
        <v>1</v>
      </c>
      <c r="L124" s="29">
        <v>0</v>
      </c>
      <c r="M124" s="8">
        <v>0</v>
      </c>
      <c r="N124" s="8">
        <v>0</v>
      </c>
      <c r="O124" s="8">
        <v>0</v>
      </c>
      <c r="P124" s="8">
        <v>0</v>
      </c>
      <c r="Q124" s="8">
        <v>0</v>
      </c>
      <c r="R124" s="8">
        <v>0</v>
      </c>
      <c r="S124" s="8">
        <v>0</v>
      </c>
      <c r="T124" s="8">
        <v>0</v>
      </c>
      <c r="U124" s="8">
        <v>0</v>
      </c>
      <c r="V124" s="8">
        <v>0</v>
      </c>
      <c r="W124" s="8">
        <v>0</v>
      </c>
      <c r="X124" s="8">
        <v>0</v>
      </c>
    </row>
    <row r="125" spans="1:24" ht="17.25" customHeight="1" x14ac:dyDescent="0.35">
      <c r="A125" s="45"/>
      <c r="B125" s="45"/>
      <c r="C125" s="40" t="s">
        <v>185</v>
      </c>
      <c r="D125" s="40"/>
      <c r="E125" s="54" t="s">
        <v>22</v>
      </c>
      <c r="F125" s="54"/>
      <c r="G125" s="8">
        <f t="shared" si="6"/>
        <v>2</v>
      </c>
      <c r="H125" s="33">
        <v>2</v>
      </c>
      <c r="I125" s="8">
        <v>1</v>
      </c>
      <c r="J125" s="8">
        <v>1</v>
      </c>
      <c r="K125" s="8">
        <v>1</v>
      </c>
      <c r="L125" s="29">
        <v>0</v>
      </c>
      <c r="M125" s="8">
        <v>0</v>
      </c>
      <c r="N125" s="8">
        <v>0</v>
      </c>
      <c r="O125" s="8">
        <v>0</v>
      </c>
      <c r="P125" s="8">
        <v>0</v>
      </c>
      <c r="Q125" s="8">
        <v>0</v>
      </c>
      <c r="R125" s="8">
        <v>0</v>
      </c>
      <c r="S125" s="8">
        <v>0</v>
      </c>
      <c r="T125" s="8">
        <v>0</v>
      </c>
      <c r="U125" s="8">
        <v>0</v>
      </c>
      <c r="V125" s="8">
        <v>0</v>
      </c>
      <c r="W125" s="8">
        <v>0</v>
      </c>
      <c r="X125" s="8">
        <v>0</v>
      </c>
    </row>
    <row r="126" spans="1:24" ht="17.25" customHeight="1" x14ac:dyDescent="0.35">
      <c r="A126" s="45"/>
      <c r="B126" s="45"/>
      <c r="C126" s="40" t="s">
        <v>117</v>
      </c>
      <c r="D126" s="40"/>
      <c r="E126" s="54" t="s">
        <v>22</v>
      </c>
      <c r="F126" s="54"/>
      <c r="G126" s="8">
        <f t="shared" si="6"/>
        <v>2</v>
      </c>
      <c r="H126" s="33">
        <v>2</v>
      </c>
      <c r="I126" s="8">
        <v>1</v>
      </c>
      <c r="J126" s="8">
        <v>1</v>
      </c>
      <c r="K126" s="8">
        <v>1</v>
      </c>
      <c r="L126" s="8">
        <v>1</v>
      </c>
      <c r="M126" s="29">
        <v>0</v>
      </c>
      <c r="N126" s="8">
        <v>0</v>
      </c>
      <c r="O126" s="8">
        <v>0</v>
      </c>
      <c r="P126" s="8">
        <v>0</v>
      </c>
      <c r="Q126" s="8">
        <v>0</v>
      </c>
      <c r="R126" s="8">
        <v>0</v>
      </c>
      <c r="S126" s="8">
        <v>0</v>
      </c>
      <c r="T126" s="8">
        <v>0</v>
      </c>
      <c r="U126" s="8">
        <v>0</v>
      </c>
      <c r="V126" s="8">
        <v>0</v>
      </c>
      <c r="W126" s="8">
        <v>0</v>
      </c>
      <c r="X126" s="8">
        <v>0</v>
      </c>
    </row>
    <row r="127" spans="1:24" ht="17.25" customHeight="1" x14ac:dyDescent="0.35">
      <c r="A127" s="45"/>
      <c r="B127" s="45"/>
      <c r="C127" s="40" t="s">
        <v>118</v>
      </c>
      <c r="D127" s="40"/>
      <c r="E127" s="54" t="s">
        <v>22</v>
      </c>
      <c r="F127" s="54"/>
      <c r="G127" s="8">
        <f t="shared" si="6"/>
        <v>2</v>
      </c>
      <c r="H127" s="33">
        <v>2</v>
      </c>
      <c r="I127" s="8">
        <v>1</v>
      </c>
      <c r="J127" s="8">
        <v>1</v>
      </c>
      <c r="K127" s="8">
        <v>1</v>
      </c>
      <c r="L127" s="8">
        <v>1</v>
      </c>
      <c r="M127" s="8">
        <v>1</v>
      </c>
      <c r="N127" s="29">
        <v>0</v>
      </c>
      <c r="O127" s="8">
        <v>0</v>
      </c>
      <c r="P127" s="8">
        <v>0</v>
      </c>
      <c r="Q127" s="8">
        <v>0</v>
      </c>
      <c r="R127" s="8">
        <v>0</v>
      </c>
      <c r="S127" s="8">
        <v>0</v>
      </c>
      <c r="T127" s="8">
        <v>0</v>
      </c>
      <c r="U127" s="8">
        <v>0</v>
      </c>
      <c r="V127" s="8">
        <v>0</v>
      </c>
      <c r="W127" s="8">
        <v>0</v>
      </c>
      <c r="X127" s="8">
        <v>0</v>
      </c>
    </row>
    <row r="128" spans="1:24" ht="17.25" customHeight="1" x14ac:dyDescent="0.35">
      <c r="A128" s="45"/>
      <c r="B128" s="45"/>
      <c r="C128" s="40" t="s">
        <v>119</v>
      </c>
      <c r="D128" s="40"/>
      <c r="E128" s="54" t="s">
        <v>22</v>
      </c>
      <c r="F128" s="54"/>
      <c r="G128" s="8">
        <f t="shared" si="6"/>
        <v>2</v>
      </c>
      <c r="H128" s="33">
        <v>2</v>
      </c>
      <c r="I128" s="8">
        <v>1</v>
      </c>
      <c r="J128" s="8">
        <v>1</v>
      </c>
      <c r="K128" s="8">
        <v>1</v>
      </c>
      <c r="L128" s="8">
        <v>1</v>
      </c>
      <c r="M128" s="8">
        <v>1</v>
      </c>
      <c r="N128" s="8">
        <v>1</v>
      </c>
      <c r="O128" s="29">
        <v>0</v>
      </c>
      <c r="P128" s="8">
        <v>0</v>
      </c>
      <c r="Q128" s="8">
        <v>0</v>
      </c>
      <c r="R128" s="8">
        <v>0</v>
      </c>
      <c r="S128" s="8">
        <v>0</v>
      </c>
      <c r="T128" s="8">
        <v>0</v>
      </c>
      <c r="U128" s="8">
        <v>0</v>
      </c>
      <c r="V128" s="8">
        <v>0</v>
      </c>
      <c r="W128" s="8">
        <v>0</v>
      </c>
      <c r="X128" s="8">
        <v>0</v>
      </c>
    </row>
    <row r="129" spans="1:32" ht="17.25" customHeight="1" x14ac:dyDescent="0.35">
      <c r="A129" s="45"/>
      <c r="B129" s="45"/>
      <c r="C129" s="40" t="s">
        <v>120</v>
      </c>
      <c r="D129" s="40"/>
      <c r="E129" s="54" t="s">
        <v>22</v>
      </c>
      <c r="F129" s="54"/>
      <c r="G129" s="8">
        <f t="shared" si="6"/>
        <v>2</v>
      </c>
      <c r="H129" s="33">
        <v>2</v>
      </c>
      <c r="I129" s="8">
        <v>1</v>
      </c>
      <c r="J129" s="8">
        <v>1</v>
      </c>
      <c r="K129" s="8">
        <v>1</v>
      </c>
      <c r="L129" s="8">
        <v>1</v>
      </c>
      <c r="M129" s="8">
        <v>1</v>
      </c>
      <c r="N129" s="8">
        <v>1</v>
      </c>
      <c r="O129" s="8">
        <v>1</v>
      </c>
      <c r="P129" s="29">
        <v>0</v>
      </c>
      <c r="Q129" s="8">
        <v>0</v>
      </c>
      <c r="R129" s="8">
        <v>0</v>
      </c>
      <c r="S129" s="8">
        <v>0</v>
      </c>
      <c r="T129" s="8">
        <v>0</v>
      </c>
      <c r="U129" s="8">
        <v>0</v>
      </c>
      <c r="V129" s="8">
        <v>0</v>
      </c>
      <c r="W129" s="8">
        <v>0</v>
      </c>
      <c r="X129" s="8">
        <v>0</v>
      </c>
    </row>
    <row r="130" spans="1:32" ht="17.25" customHeight="1" x14ac:dyDescent="0.35">
      <c r="A130" s="45"/>
      <c r="B130" s="45"/>
      <c r="C130" s="40" t="s">
        <v>121</v>
      </c>
      <c r="D130" s="40"/>
      <c r="E130" s="54" t="s">
        <v>22</v>
      </c>
      <c r="F130" s="54"/>
      <c r="G130" s="8">
        <f t="shared" si="6"/>
        <v>2</v>
      </c>
      <c r="H130" s="33">
        <v>2</v>
      </c>
      <c r="I130" s="8">
        <v>1</v>
      </c>
      <c r="J130" s="8">
        <v>1</v>
      </c>
      <c r="K130" s="8">
        <v>1</v>
      </c>
      <c r="L130" s="8">
        <v>1</v>
      </c>
      <c r="M130" s="8">
        <v>1</v>
      </c>
      <c r="N130" s="8">
        <v>1</v>
      </c>
      <c r="O130" s="8">
        <v>1</v>
      </c>
      <c r="P130" s="8">
        <v>1</v>
      </c>
      <c r="Q130" s="29">
        <v>0</v>
      </c>
      <c r="R130" s="8">
        <v>0</v>
      </c>
      <c r="S130" s="8">
        <v>0</v>
      </c>
      <c r="T130" s="8">
        <v>0</v>
      </c>
      <c r="U130" s="8">
        <v>0</v>
      </c>
      <c r="V130" s="8">
        <v>0</v>
      </c>
      <c r="W130" s="8">
        <v>0</v>
      </c>
      <c r="X130" s="8">
        <v>0</v>
      </c>
    </row>
    <row r="131" spans="1:32" ht="17.25" customHeight="1" x14ac:dyDescent="0.35">
      <c r="A131" s="45"/>
      <c r="B131" s="45"/>
      <c r="C131" s="40" t="s">
        <v>122</v>
      </c>
      <c r="D131" s="40"/>
      <c r="E131" s="54" t="s">
        <v>22</v>
      </c>
      <c r="F131" s="54"/>
      <c r="G131" s="8">
        <f t="shared" si="6"/>
        <v>2</v>
      </c>
      <c r="H131" s="33">
        <v>2</v>
      </c>
      <c r="I131" s="8">
        <v>1</v>
      </c>
      <c r="J131" s="8">
        <v>1</v>
      </c>
      <c r="K131" s="8">
        <v>1</v>
      </c>
      <c r="L131" s="8">
        <v>1</v>
      </c>
      <c r="M131" s="8">
        <v>1</v>
      </c>
      <c r="N131" s="8">
        <v>1</v>
      </c>
      <c r="O131" s="8">
        <v>1</v>
      </c>
      <c r="P131" s="8">
        <v>1</v>
      </c>
      <c r="Q131" s="8">
        <v>1</v>
      </c>
      <c r="R131" s="29">
        <v>0</v>
      </c>
      <c r="S131" s="8">
        <v>0</v>
      </c>
      <c r="T131" s="8">
        <v>0</v>
      </c>
      <c r="U131" s="8">
        <v>0</v>
      </c>
      <c r="V131" s="8">
        <v>0</v>
      </c>
      <c r="W131" s="8">
        <v>0</v>
      </c>
      <c r="X131" s="8">
        <v>0</v>
      </c>
    </row>
    <row r="132" spans="1:32" ht="17.25" customHeight="1" x14ac:dyDescent="0.35">
      <c r="A132" s="45"/>
      <c r="B132" s="45"/>
      <c r="C132" s="40" t="s">
        <v>123</v>
      </c>
      <c r="D132" s="40"/>
      <c r="E132" s="54" t="s">
        <v>22</v>
      </c>
      <c r="F132" s="54"/>
      <c r="G132" s="8">
        <f t="shared" si="6"/>
        <v>2</v>
      </c>
      <c r="H132" s="33">
        <v>2</v>
      </c>
      <c r="I132" s="8">
        <v>1</v>
      </c>
      <c r="J132" s="8">
        <v>1</v>
      </c>
      <c r="K132" s="8">
        <v>1</v>
      </c>
      <c r="L132" s="8">
        <v>1</v>
      </c>
      <c r="M132" s="8">
        <v>1</v>
      </c>
      <c r="N132" s="8">
        <v>1</v>
      </c>
      <c r="O132" s="8">
        <v>1</v>
      </c>
      <c r="P132" s="8">
        <v>1</v>
      </c>
      <c r="Q132" s="8">
        <v>1</v>
      </c>
      <c r="R132" s="8">
        <v>1</v>
      </c>
      <c r="S132" s="29">
        <v>0</v>
      </c>
      <c r="T132" s="8">
        <v>0</v>
      </c>
      <c r="U132" s="8">
        <v>0</v>
      </c>
      <c r="V132" s="8">
        <v>0</v>
      </c>
      <c r="W132" s="8">
        <v>0</v>
      </c>
      <c r="X132" s="8">
        <v>0</v>
      </c>
    </row>
    <row r="133" spans="1:32" ht="17.25" customHeight="1" x14ac:dyDescent="0.35">
      <c r="A133" s="45"/>
      <c r="B133" s="45"/>
      <c r="C133" s="40" t="s">
        <v>124</v>
      </c>
      <c r="D133" s="40"/>
      <c r="E133" s="54" t="s">
        <v>22</v>
      </c>
      <c r="F133" s="54"/>
      <c r="G133" s="8">
        <f t="shared" si="6"/>
        <v>3</v>
      </c>
      <c r="H133" s="33">
        <v>3</v>
      </c>
      <c r="I133" s="8">
        <v>1</v>
      </c>
      <c r="J133" s="8">
        <v>1</v>
      </c>
      <c r="K133" s="8">
        <v>1</v>
      </c>
      <c r="L133" s="8">
        <v>1</v>
      </c>
      <c r="M133" s="8">
        <v>1</v>
      </c>
      <c r="N133" s="8">
        <v>1</v>
      </c>
      <c r="O133" s="8">
        <v>1</v>
      </c>
      <c r="P133" s="8">
        <v>1</v>
      </c>
      <c r="Q133" s="8">
        <v>1</v>
      </c>
      <c r="R133" s="8">
        <v>1</v>
      </c>
      <c r="S133" s="8">
        <v>1</v>
      </c>
      <c r="T133" s="29">
        <v>0</v>
      </c>
      <c r="U133" s="8">
        <v>0</v>
      </c>
      <c r="V133" s="8">
        <v>0</v>
      </c>
      <c r="W133" s="8">
        <v>0</v>
      </c>
      <c r="X133" s="8">
        <v>0</v>
      </c>
    </row>
    <row r="134" spans="1:32" ht="17.25" customHeight="1" x14ac:dyDescent="0.35">
      <c r="A134" s="45"/>
      <c r="B134" s="45"/>
      <c r="C134" s="40" t="s">
        <v>125</v>
      </c>
      <c r="D134" s="40"/>
      <c r="E134" s="54" t="s">
        <v>22</v>
      </c>
      <c r="F134" s="54"/>
      <c r="G134" s="8">
        <f t="shared" si="6"/>
        <v>2</v>
      </c>
      <c r="H134" s="33">
        <v>2</v>
      </c>
      <c r="I134" s="8">
        <v>2</v>
      </c>
      <c r="J134" s="8">
        <v>2</v>
      </c>
      <c r="K134" s="8">
        <v>2</v>
      </c>
      <c r="L134" s="8">
        <v>2</v>
      </c>
      <c r="M134" s="8">
        <v>2</v>
      </c>
      <c r="N134" s="8">
        <v>2</v>
      </c>
      <c r="O134" s="8">
        <v>2</v>
      </c>
      <c r="P134" s="8">
        <v>2</v>
      </c>
      <c r="Q134" s="8">
        <v>2</v>
      </c>
      <c r="R134" s="8">
        <v>2</v>
      </c>
      <c r="S134" s="8">
        <v>2</v>
      </c>
      <c r="T134" s="31">
        <v>2</v>
      </c>
      <c r="U134" s="29">
        <v>0</v>
      </c>
      <c r="V134" s="8">
        <v>0</v>
      </c>
      <c r="W134" s="8">
        <v>0</v>
      </c>
      <c r="X134" s="8">
        <v>0</v>
      </c>
    </row>
    <row r="135" spans="1:32" ht="17.25" customHeight="1" x14ac:dyDescent="0.35">
      <c r="A135" s="45"/>
      <c r="B135" s="45"/>
      <c r="C135" s="40" t="s">
        <v>186</v>
      </c>
      <c r="D135" s="40"/>
      <c r="E135" s="54" t="s">
        <v>22</v>
      </c>
      <c r="F135" s="54"/>
      <c r="G135" s="8">
        <v>2</v>
      </c>
      <c r="H135" s="33">
        <v>2</v>
      </c>
      <c r="I135" s="33">
        <v>2</v>
      </c>
      <c r="J135" s="33">
        <v>2</v>
      </c>
      <c r="K135" s="33">
        <v>2</v>
      </c>
      <c r="L135" s="33">
        <v>2</v>
      </c>
      <c r="M135" s="33">
        <v>2</v>
      </c>
      <c r="N135" s="33">
        <v>2</v>
      </c>
      <c r="O135" s="33">
        <v>2</v>
      </c>
      <c r="P135" s="33">
        <v>2</v>
      </c>
      <c r="Q135" s="33">
        <v>2</v>
      </c>
      <c r="R135" s="33">
        <v>2</v>
      </c>
      <c r="S135" s="33">
        <v>2</v>
      </c>
      <c r="T135" s="33">
        <v>2</v>
      </c>
      <c r="U135" s="33">
        <v>2</v>
      </c>
      <c r="V135" s="29">
        <v>0</v>
      </c>
      <c r="W135" s="8">
        <v>0</v>
      </c>
      <c r="X135" s="8">
        <v>0</v>
      </c>
    </row>
    <row r="136" spans="1:32" ht="17.25" customHeight="1" x14ac:dyDescent="0.35">
      <c r="A136" s="45"/>
      <c r="B136" s="45"/>
      <c r="C136" s="40" t="s">
        <v>187</v>
      </c>
      <c r="D136" s="40"/>
      <c r="E136" s="54" t="s">
        <v>22</v>
      </c>
      <c r="F136" s="54"/>
      <c r="G136" s="8">
        <v>1</v>
      </c>
      <c r="H136" s="33">
        <v>1</v>
      </c>
      <c r="I136" s="33">
        <v>1</v>
      </c>
      <c r="J136" s="33">
        <v>1</v>
      </c>
      <c r="K136" s="33">
        <v>1</v>
      </c>
      <c r="L136" s="33">
        <v>1</v>
      </c>
      <c r="M136" s="33">
        <v>1</v>
      </c>
      <c r="N136" s="33">
        <v>1</v>
      </c>
      <c r="O136" s="33">
        <v>1</v>
      </c>
      <c r="P136" s="33">
        <v>1</v>
      </c>
      <c r="Q136" s="33">
        <v>1</v>
      </c>
      <c r="R136" s="33">
        <v>1</v>
      </c>
      <c r="S136" s="33">
        <v>1</v>
      </c>
      <c r="T136" s="33">
        <v>1</v>
      </c>
      <c r="U136" s="33">
        <v>1</v>
      </c>
      <c r="V136" s="29">
        <v>0</v>
      </c>
      <c r="W136" s="8">
        <v>0</v>
      </c>
      <c r="X136" s="8">
        <v>0</v>
      </c>
    </row>
    <row r="137" spans="1:32" ht="17.25" customHeight="1" x14ac:dyDescent="0.35">
      <c r="A137" s="45"/>
      <c r="B137" s="45"/>
      <c r="C137" s="40" t="s">
        <v>126</v>
      </c>
      <c r="D137" s="40"/>
      <c r="E137" s="54" t="s">
        <v>63</v>
      </c>
      <c r="F137" s="54"/>
      <c r="G137" s="8">
        <v>2</v>
      </c>
      <c r="H137" s="33">
        <v>2</v>
      </c>
      <c r="I137" s="33">
        <v>2</v>
      </c>
      <c r="J137" s="33">
        <v>2</v>
      </c>
      <c r="K137" s="33">
        <v>2</v>
      </c>
      <c r="L137" s="33">
        <v>2</v>
      </c>
      <c r="M137" s="33">
        <v>2</v>
      </c>
      <c r="N137" s="33">
        <v>2</v>
      </c>
      <c r="O137" s="33">
        <v>2</v>
      </c>
      <c r="P137" s="33">
        <v>2</v>
      </c>
      <c r="Q137" s="33">
        <v>2</v>
      </c>
      <c r="R137" s="33">
        <v>2</v>
      </c>
      <c r="S137" s="33">
        <v>2</v>
      </c>
      <c r="T137" s="33">
        <v>2</v>
      </c>
      <c r="U137" s="33">
        <v>2</v>
      </c>
      <c r="V137" s="33">
        <v>2</v>
      </c>
      <c r="W137" s="29">
        <v>0</v>
      </c>
      <c r="X137" s="8">
        <v>0</v>
      </c>
    </row>
    <row r="138" spans="1:32" ht="17.25" customHeight="1" x14ac:dyDescent="0.35">
      <c r="A138" s="45"/>
      <c r="B138" s="45"/>
      <c r="C138" s="40" t="s">
        <v>127</v>
      </c>
      <c r="D138" s="40"/>
      <c r="E138" s="54" t="s">
        <v>63</v>
      </c>
      <c r="F138" s="54"/>
      <c r="G138" s="8">
        <v>1</v>
      </c>
      <c r="H138" s="33">
        <v>1</v>
      </c>
      <c r="I138" s="33">
        <v>1</v>
      </c>
      <c r="J138" s="33">
        <v>1</v>
      </c>
      <c r="K138" s="33">
        <v>1</v>
      </c>
      <c r="L138" s="33">
        <v>1</v>
      </c>
      <c r="M138" s="33">
        <v>1</v>
      </c>
      <c r="N138" s="33">
        <v>1</v>
      </c>
      <c r="O138" s="33">
        <v>1</v>
      </c>
      <c r="P138" s="33">
        <v>1</v>
      </c>
      <c r="Q138" s="33">
        <v>1</v>
      </c>
      <c r="R138" s="33">
        <v>1</v>
      </c>
      <c r="S138" s="33">
        <v>1</v>
      </c>
      <c r="T138" s="33">
        <v>1</v>
      </c>
      <c r="U138" s="33">
        <v>1</v>
      </c>
      <c r="V138" s="33">
        <v>1</v>
      </c>
      <c r="W138" s="33">
        <v>1</v>
      </c>
      <c r="X138" s="29">
        <v>0</v>
      </c>
    </row>
    <row r="139" spans="1:32" ht="17.25" customHeight="1" x14ac:dyDescent="0.35">
      <c r="A139" s="45"/>
      <c r="B139" s="53"/>
      <c r="C139" s="40" t="s">
        <v>188</v>
      </c>
      <c r="D139" s="40"/>
      <c r="E139" s="54" t="s">
        <v>63</v>
      </c>
      <c r="F139" s="54"/>
      <c r="G139" s="8">
        <f t="shared" si="6"/>
        <v>2</v>
      </c>
      <c r="H139" s="33">
        <v>2</v>
      </c>
      <c r="I139" s="8">
        <v>2</v>
      </c>
      <c r="J139" s="8">
        <v>2</v>
      </c>
      <c r="K139" s="8">
        <v>2</v>
      </c>
      <c r="L139" s="8">
        <v>2</v>
      </c>
      <c r="M139" s="8">
        <v>2</v>
      </c>
      <c r="N139" s="8">
        <v>2</v>
      </c>
      <c r="O139" s="8">
        <v>2</v>
      </c>
      <c r="P139" s="8">
        <v>2</v>
      </c>
      <c r="Q139" s="8">
        <v>2</v>
      </c>
      <c r="R139" s="8">
        <v>2</v>
      </c>
      <c r="S139" s="8">
        <v>2</v>
      </c>
      <c r="T139" s="8">
        <v>2</v>
      </c>
      <c r="U139" s="8">
        <v>2</v>
      </c>
      <c r="V139" s="8">
        <v>2</v>
      </c>
      <c r="W139" s="31">
        <v>0</v>
      </c>
      <c r="X139" s="29">
        <v>0</v>
      </c>
    </row>
    <row r="140" spans="1:32" ht="17.25" customHeight="1" x14ac:dyDescent="0.35">
      <c r="A140" s="45"/>
      <c r="B140" s="53" t="s">
        <v>128</v>
      </c>
      <c r="C140" s="46" t="s">
        <v>129</v>
      </c>
      <c r="D140" s="46"/>
      <c r="E140" s="45" t="s">
        <v>33</v>
      </c>
      <c r="F140" s="45"/>
      <c r="G140" s="8">
        <f t="shared" si="6"/>
        <v>6</v>
      </c>
      <c r="H140" s="8">
        <v>6</v>
      </c>
      <c r="I140" s="8">
        <v>6</v>
      </c>
      <c r="J140" s="8">
        <v>6</v>
      </c>
      <c r="K140" s="8">
        <v>6</v>
      </c>
      <c r="L140" s="8">
        <v>6</v>
      </c>
      <c r="M140" s="8">
        <v>6</v>
      </c>
      <c r="N140" s="8">
        <v>6</v>
      </c>
      <c r="O140" s="8">
        <v>6</v>
      </c>
      <c r="P140" s="8">
        <v>6</v>
      </c>
      <c r="Q140" s="8">
        <v>6</v>
      </c>
      <c r="R140" s="8">
        <v>6</v>
      </c>
      <c r="S140" s="8">
        <v>6</v>
      </c>
      <c r="T140" s="8">
        <v>6</v>
      </c>
      <c r="U140" s="8">
        <v>6</v>
      </c>
      <c r="V140" s="8">
        <v>6</v>
      </c>
      <c r="W140" s="8">
        <v>6</v>
      </c>
      <c r="X140" s="29">
        <v>0</v>
      </c>
    </row>
    <row r="141" spans="1:32" ht="17.25" customHeight="1" x14ac:dyDescent="0.35">
      <c r="A141" s="45"/>
      <c r="B141" s="53"/>
      <c r="C141" s="46" t="s">
        <v>130</v>
      </c>
      <c r="D141" s="46"/>
      <c r="E141" s="45" t="s">
        <v>33</v>
      </c>
      <c r="F141" s="45"/>
      <c r="G141" s="8">
        <f t="shared" si="6"/>
        <v>6</v>
      </c>
      <c r="H141" s="8">
        <v>6</v>
      </c>
      <c r="I141" s="8">
        <v>6</v>
      </c>
      <c r="J141" s="8">
        <v>6</v>
      </c>
      <c r="K141" s="8">
        <v>6</v>
      </c>
      <c r="L141" s="8">
        <v>6</v>
      </c>
      <c r="M141" s="8">
        <v>6</v>
      </c>
      <c r="N141" s="8">
        <v>6</v>
      </c>
      <c r="O141" s="8">
        <v>6</v>
      </c>
      <c r="P141" s="8">
        <v>6</v>
      </c>
      <c r="Q141" s="8">
        <v>6</v>
      </c>
      <c r="R141" s="8">
        <v>6</v>
      </c>
      <c r="S141" s="8">
        <v>6</v>
      </c>
      <c r="T141" s="8">
        <v>6</v>
      </c>
      <c r="U141" s="8">
        <v>6</v>
      </c>
      <c r="V141" s="8">
        <v>6</v>
      </c>
      <c r="W141" s="8">
        <v>6</v>
      </c>
      <c r="X141" s="29">
        <v>0</v>
      </c>
    </row>
    <row r="142" spans="1:32" ht="17.25" customHeight="1" x14ac:dyDescent="0.35">
      <c r="A142" s="45"/>
      <c r="B142" s="55" t="s">
        <v>27</v>
      </c>
      <c r="C142" s="55"/>
      <c r="D142" s="55"/>
      <c r="E142" s="55" t="s">
        <v>14</v>
      </c>
      <c r="F142" s="55"/>
      <c r="G142" s="56">
        <f>SUM(G16:G141)</f>
        <v>310.5</v>
      </c>
      <c r="H142" s="57"/>
      <c r="I142" s="8">
        <f t="shared" ref="I142:X142" si="7">SUM(I16:I141)</f>
        <v>286.5</v>
      </c>
      <c r="J142" s="8">
        <f t="shared" si="7"/>
        <v>276.5</v>
      </c>
      <c r="K142" s="8">
        <f>SUM(K16:K141)</f>
        <v>274</v>
      </c>
      <c r="L142" s="8">
        <f>SUM(L16:L141)</f>
        <v>245</v>
      </c>
      <c r="M142" s="8">
        <f t="shared" si="7"/>
        <v>232</v>
      </c>
      <c r="N142" s="8">
        <f t="shared" si="7"/>
        <v>217</v>
      </c>
      <c r="O142" s="8">
        <f t="shared" si="7"/>
        <v>186</v>
      </c>
      <c r="P142" s="8">
        <f t="shared" si="7"/>
        <v>171</v>
      </c>
      <c r="Q142" s="8">
        <f t="shared" si="7"/>
        <v>158</v>
      </c>
      <c r="R142" s="8">
        <f t="shared" si="7"/>
        <v>145</v>
      </c>
      <c r="S142" s="8">
        <f t="shared" si="7"/>
        <v>133</v>
      </c>
      <c r="T142" s="8">
        <f t="shared" si="7"/>
        <v>109</v>
      </c>
      <c r="U142" s="8">
        <f t="shared" si="7"/>
        <v>95</v>
      </c>
      <c r="V142" s="8">
        <f t="shared" si="7"/>
        <v>72</v>
      </c>
      <c r="W142" s="8">
        <f t="shared" si="7"/>
        <v>57</v>
      </c>
      <c r="X142" s="8">
        <f t="shared" si="7"/>
        <v>3</v>
      </c>
    </row>
    <row r="143" spans="1:32" ht="17.25" customHeight="1" x14ac:dyDescent="0.35">
      <c r="A143" s="45"/>
      <c r="B143" s="45"/>
      <c r="C143" s="55"/>
      <c r="D143" s="55"/>
      <c r="E143" s="55" t="s">
        <v>15</v>
      </c>
      <c r="F143" s="55"/>
      <c r="G143" s="56">
        <f>SUM(H16:H141)</f>
        <v>298.5</v>
      </c>
      <c r="H143" s="57"/>
      <c r="I143" s="36">
        <f t="shared" ref="I143:X143" si="8">SUMIFS(I$16:I$141,$H$16:$H$141,"&gt;0")</f>
        <v>286.5</v>
      </c>
      <c r="J143" s="36">
        <f t="shared" si="8"/>
        <v>276.5</v>
      </c>
      <c r="K143" s="36">
        <f t="shared" si="8"/>
        <v>267</v>
      </c>
      <c r="L143" s="36">
        <f t="shared" si="8"/>
        <v>245</v>
      </c>
      <c r="M143" s="36">
        <f t="shared" si="8"/>
        <v>232</v>
      </c>
      <c r="N143" s="36">
        <f t="shared" si="8"/>
        <v>217</v>
      </c>
      <c r="O143" s="36">
        <f t="shared" si="8"/>
        <v>186</v>
      </c>
      <c r="P143" s="36">
        <f t="shared" si="8"/>
        <v>171</v>
      </c>
      <c r="Q143" s="36">
        <f t="shared" si="8"/>
        <v>158</v>
      </c>
      <c r="R143" s="36">
        <f t="shared" si="8"/>
        <v>145</v>
      </c>
      <c r="S143" s="36">
        <f t="shared" si="8"/>
        <v>133</v>
      </c>
      <c r="T143" s="36">
        <f t="shared" si="8"/>
        <v>109</v>
      </c>
      <c r="U143" s="36">
        <f t="shared" si="8"/>
        <v>95</v>
      </c>
      <c r="V143" s="36">
        <f t="shared" si="8"/>
        <v>72</v>
      </c>
      <c r="W143" s="36">
        <f t="shared" si="8"/>
        <v>54</v>
      </c>
      <c r="X143" s="36">
        <f t="shared" si="8"/>
        <v>0</v>
      </c>
    </row>
    <row r="144" spans="1:32" x14ac:dyDescent="0.35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</row>
  </sheetData>
  <mergeCells count="269">
    <mergeCell ref="B142:D143"/>
    <mergeCell ref="E142:F142"/>
    <mergeCell ref="E143:F143"/>
    <mergeCell ref="G142:H142"/>
    <mergeCell ref="G143:H143"/>
    <mergeCell ref="E132:F132"/>
    <mergeCell ref="C133:D133"/>
    <mergeCell ref="E133:F133"/>
    <mergeCell ref="C134:D134"/>
    <mergeCell ref="E134:F134"/>
    <mergeCell ref="C139:D139"/>
    <mergeCell ref="E139:F139"/>
    <mergeCell ref="B140:B141"/>
    <mergeCell ref="C140:D140"/>
    <mergeCell ref="E140:F140"/>
    <mergeCell ref="C141:D141"/>
    <mergeCell ref="E141:F141"/>
    <mergeCell ref="E135:F135"/>
    <mergeCell ref="E136:F136"/>
    <mergeCell ref="E137:F137"/>
    <mergeCell ref="E138:F138"/>
    <mergeCell ref="C135:D135"/>
    <mergeCell ref="C136:D136"/>
    <mergeCell ref="B124:B139"/>
    <mergeCell ref="C124:D124"/>
    <mergeCell ref="E124:F124"/>
    <mergeCell ref="C125:D125"/>
    <mergeCell ref="E125:F125"/>
    <mergeCell ref="C126:D126"/>
    <mergeCell ref="E126:F126"/>
    <mergeCell ref="C127:D127"/>
    <mergeCell ref="E127:F127"/>
    <mergeCell ref="C128:D128"/>
    <mergeCell ref="E128:F128"/>
    <mergeCell ref="C129:D129"/>
    <mergeCell ref="E129:F129"/>
    <mergeCell ref="C130:D130"/>
    <mergeCell ref="E130:F130"/>
    <mergeCell ref="C131:D131"/>
    <mergeCell ref="E131:F131"/>
    <mergeCell ref="C132:D132"/>
    <mergeCell ref="B108:B123"/>
    <mergeCell ref="C108:D108"/>
    <mergeCell ref="E108:F108"/>
    <mergeCell ref="C109:D109"/>
    <mergeCell ref="E109:F109"/>
    <mergeCell ref="C110:D110"/>
    <mergeCell ref="E110:F110"/>
    <mergeCell ref="C111:D111"/>
    <mergeCell ref="E111:F111"/>
    <mergeCell ref="C112:D112"/>
    <mergeCell ref="E112:F112"/>
    <mergeCell ref="C113:D113"/>
    <mergeCell ref="E113:F113"/>
    <mergeCell ref="C114:D114"/>
    <mergeCell ref="E114:F114"/>
    <mergeCell ref="C115:D115"/>
    <mergeCell ref="E115:F115"/>
    <mergeCell ref="C116:D116"/>
    <mergeCell ref="E116:F116"/>
    <mergeCell ref="C117:D117"/>
    <mergeCell ref="E117:F117"/>
    <mergeCell ref="C118:D118"/>
    <mergeCell ref="E118:F118"/>
    <mergeCell ref="C123:D123"/>
    <mergeCell ref="B92:B107"/>
    <mergeCell ref="C92:D92"/>
    <mergeCell ref="E92:F92"/>
    <mergeCell ref="C94:D94"/>
    <mergeCell ref="E94:F94"/>
    <mergeCell ref="C95:D95"/>
    <mergeCell ref="E95:F95"/>
    <mergeCell ref="C96:D96"/>
    <mergeCell ref="E96:F96"/>
    <mergeCell ref="C97:D97"/>
    <mergeCell ref="E97:F97"/>
    <mergeCell ref="C98:D98"/>
    <mergeCell ref="E98:F98"/>
    <mergeCell ref="C99:D99"/>
    <mergeCell ref="E99:F99"/>
    <mergeCell ref="C100:D100"/>
    <mergeCell ref="E100:F100"/>
    <mergeCell ref="C101:D101"/>
    <mergeCell ref="E101:F101"/>
    <mergeCell ref="C102:D102"/>
    <mergeCell ref="E102:F102"/>
    <mergeCell ref="C103:D103"/>
    <mergeCell ref="E103:F103"/>
    <mergeCell ref="C107:D107"/>
    <mergeCell ref="C75:D75"/>
    <mergeCell ref="E75:F75"/>
    <mergeCell ref="C76:D76"/>
    <mergeCell ref="E76:F76"/>
    <mergeCell ref="C77:D77"/>
    <mergeCell ref="E77:F77"/>
    <mergeCell ref="C78:D78"/>
    <mergeCell ref="E78:F78"/>
    <mergeCell ref="C79:D79"/>
    <mergeCell ref="E79:F79"/>
    <mergeCell ref="C80:D80"/>
    <mergeCell ref="C81:D81"/>
    <mergeCell ref="C82:D82"/>
    <mergeCell ref="C83:D83"/>
    <mergeCell ref="C85:D85"/>
    <mergeCell ref="C86:D86"/>
    <mergeCell ref="C88:D88"/>
    <mergeCell ref="C70:D70"/>
    <mergeCell ref="E70:F70"/>
    <mergeCell ref="C71:D71"/>
    <mergeCell ref="E71:F71"/>
    <mergeCell ref="C72:D72"/>
    <mergeCell ref="E72:F72"/>
    <mergeCell ref="C73:D73"/>
    <mergeCell ref="E73:F73"/>
    <mergeCell ref="C74:D74"/>
    <mergeCell ref="E74:F74"/>
    <mergeCell ref="C65:D65"/>
    <mergeCell ref="E65:F65"/>
    <mergeCell ref="C66:D66"/>
    <mergeCell ref="E66:F66"/>
    <mergeCell ref="C67:D67"/>
    <mergeCell ref="E67:F67"/>
    <mergeCell ref="C68:D68"/>
    <mergeCell ref="E68:F68"/>
    <mergeCell ref="C69:D69"/>
    <mergeCell ref="E69:F69"/>
    <mergeCell ref="E52:F52"/>
    <mergeCell ref="C53:D53"/>
    <mergeCell ref="E53:F53"/>
    <mergeCell ref="C55:D55"/>
    <mergeCell ref="E55:F55"/>
    <mergeCell ref="B56:B91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2:D62"/>
    <mergeCell ref="E62:F62"/>
    <mergeCell ref="C63:D63"/>
    <mergeCell ref="E63:F63"/>
    <mergeCell ref="C64:D64"/>
    <mergeCell ref="E64:F64"/>
    <mergeCell ref="C38:D38"/>
    <mergeCell ref="E38:F38"/>
    <mergeCell ref="B39:B55"/>
    <mergeCell ref="C39:D39"/>
    <mergeCell ref="E39:F39"/>
    <mergeCell ref="C41:D41"/>
    <mergeCell ref="E41:F41"/>
    <mergeCell ref="C42:D42"/>
    <mergeCell ref="E42:F42"/>
    <mergeCell ref="C43:D43"/>
    <mergeCell ref="E43:F43"/>
    <mergeCell ref="C44:D44"/>
    <mergeCell ref="E44:F44"/>
    <mergeCell ref="C45:D45"/>
    <mergeCell ref="E45:F45"/>
    <mergeCell ref="C46:D46"/>
    <mergeCell ref="E46:F46"/>
    <mergeCell ref="C47:D47"/>
    <mergeCell ref="E47:F47"/>
    <mergeCell ref="C48:D48"/>
    <mergeCell ref="E48:F48"/>
    <mergeCell ref="C49:D49"/>
    <mergeCell ref="E49:F49"/>
    <mergeCell ref="C52:D52"/>
    <mergeCell ref="C31:D31"/>
    <mergeCell ref="E31:F31"/>
    <mergeCell ref="C33:D33"/>
    <mergeCell ref="E33:F33"/>
    <mergeCell ref="C35:D35"/>
    <mergeCell ref="E35:F35"/>
    <mergeCell ref="C36:D36"/>
    <mergeCell ref="E36:F36"/>
    <mergeCell ref="C37:D37"/>
    <mergeCell ref="E37:F37"/>
    <mergeCell ref="B6:E6"/>
    <mergeCell ref="B13:C13"/>
    <mergeCell ref="C15:D15"/>
    <mergeCell ref="E15:F15"/>
    <mergeCell ref="A16:A143"/>
    <mergeCell ref="B16:D16"/>
    <mergeCell ref="E16:F16"/>
    <mergeCell ref="B17:D17"/>
    <mergeCell ref="E17:F17"/>
    <mergeCell ref="B18:D18"/>
    <mergeCell ref="E18:F18"/>
    <mergeCell ref="B19:B38"/>
    <mergeCell ref="C19:D19"/>
    <mergeCell ref="E19:F19"/>
    <mergeCell ref="C20:D20"/>
    <mergeCell ref="E20:F20"/>
    <mergeCell ref="C21:D21"/>
    <mergeCell ref="E21:F21"/>
    <mergeCell ref="C23:D23"/>
    <mergeCell ref="E23:F23"/>
    <mergeCell ref="C25:D25"/>
    <mergeCell ref="E25:F25"/>
    <mergeCell ref="C27:D27"/>
    <mergeCell ref="E27:F27"/>
    <mergeCell ref="C40:D40"/>
    <mergeCell ref="E40:F40"/>
    <mergeCell ref="C50:D50"/>
    <mergeCell ref="E50:F50"/>
    <mergeCell ref="C51:D51"/>
    <mergeCell ref="E51:F51"/>
    <mergeCell ref="C54:D54"/>
    <mergeCell ref="E54:F54"/>
    <mergeCell ref="C22:D22"/>
    <mergeCell ref="C24:D24"/>
    <mergeCell ref="C26:D26"/>
    <mergeCell ref="C28:D28"/>
    <mergeCell ref="C30:D30"/>
    <mergeCell ref="C32:D32"/>
    <mergeCell ref="C34:D34"/>
    <mergeCell ref="E34:F34"/>
    <mergeCell ref="E32:F32"/>
    <mergeCell ref="E30:F30"/>
    <mergeCell ref="E28:F28"/>
    <mergeCell ref="E26:F26"/>
    <mergeCell ref="E24:F24"/>
    <mergeCell ref="E22:F22"/>
    <mergeCell ref="C29:D29"/>
    <mergeCell ref="E29:F29"/>
    <mergeCell ref="C89:D89"/>
    <mergeCell ref="E80:F80"/>
    <mergeCell ref="E81:F81"/>
    <mergeCell ref="E82:F82"/>
    <mergeCell ref="E83:F83"/>
    <mergeCell ref="E85:F85"/>
    <mergeCell ref="E86:F86"/>
    <mergeCell ref="E88:F88"/>
    <mergeCell ref="E89:F89"/>
    <mergeCell ref="C84:D84"/>
    <mergeCell ref="E84:F84"/>
    <mergeCell ref="C87:D87"/>
    <mergeCell ref="E87:F87"/>
    <mergeCell ref="C137:D137"/>
    <mergeCell ref="C138:D138"/>
    <mergeCell ref="C90:D90"/>
    <mergeCell ref="E90:F90"/>
    <mergeCell ref="C119:D119"/>
    <mergeCell ref="C120:D120"/>
    <mergeCell ref="C121:D121"/>
    <mergeCell ref="C122:D122"/>
    <mergeCell ref="E119:F119"/>
    <mergeCell ref="E120:F120"/>
    <mergeCell ref="E121:F121"/>
    <mergeCell ref="E122:F122"/>
    <mergeCell ref="C93:D93"/>
    <mergeCell ref="E93:F93"/>
    <mergeCell ref="C106:D106"/>
    <mergeCell ref="C105:D105"/>
    <mergeCell ref="C104:D104"/>
    <mergeCell ref="E106:F106"/>
    <mergeCell ref="E105:F105"/>
    <mergeCell ref="E104:F104"/>
    <mergeCell ref="C91:D91"/>
    <mergeCell ref="E91:F91"/>
    <mergeCell ref="E107:F107"/>
    <mergeCell ref="E123:F123"/>
  </mergeCells>
  <pageMargins left="1.1811023622047243" right="0.59055118110236215" top="0.78740157480314954" bottom="0.78740157480314954" header="0.511811023622047" footer="0.511811023622047"/>
  <pageSetup paperSize="9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D84"/>
  <sheetViews>
    <sheetView topLeftCell="A57" zoomScale="55" zoomScaleNormal="55" workbookViewId="0">
      <selection activeCell="E82" sqref="E82:F82"/>
    </sheetView>
  </sheetViews>
  <sheetFormatPr defaultColWidth="8.81640625" defaultRowHeight="16.5" x14ac:dyDescent="0.35"/>
  <cols>
    <col min="1" max="1" width="10" style="9" customWidth="1"/>
    <col min="2" max="2" width="24" style="9" customWidth="1"/>
    <col min="3" max="3" width="58" style="9" customWidth="1"/>
    <col min="4" max="4" width="8" style="9" customWidth="1"/>
    <col min="5" max="5" width="14" style="9" customWidth="1"/>
    <col min="6" max="6" width="16" style="9" customWidth="1"/>
    <col min="7" max="8" width="9" style="9" customWidth="1"/>
    <col min="9" max="30" width="6.54296875" style="9" customWidth="1"/>
    <col min="31" max="16384" width="8.81640625" style="9"/>
  </cols>
  <sheetData>
    <row r="1" spans="1:30" ht="17.25" customHeight="1" x14ac:dyDescent="0.35">
      <c r="A1" s="4" t="s">
        <v>0</v>
      </c>
      <c r="B1" s="5"/>
      <c r="C1" s="6" t="s">
        <v>131</v>
      </c>
      <c r="D1" s="5"/>
      <c r="E1" s="7"/>
      <c r="F1" s="8" t="s">
        <v>2</v>
      </c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  <c r="AA1" s="5"/>
      <c r="AB1" s="5"/>
      <c r="AC1" s="5"/>
      <c r="AD1" s="5"/>
    </row>
    <row r="2" spans="1:30" ht="17.25" customHeight="1" x14ac:dyDescent="0.35">
      <c r="A2" s="4" t="s">
        <v>3</v>
      </c>
      <c r="B2" s="5"/>
      <c r="C2" s="6" t="s">
        <v>132</v>
      </c>
      <c r="D2" s="5"/>
      <c r="E2" s="10"/>
      <c r="F2" s="8" t="s">
        <v>5</v>
      </c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</row>
    <row r="3" spans="1:30" ht="17.25" customHeight="1" x14ac:dyDescent="0.35">
      <c r="A3" s="4" t="s">
        <v>6</v>
      </c>
      <c r="B3" s="5"/>
      <c r="C3" s="11">
        <v>46265</v>
      </c>
      <c r="D3" s="5"/>
      <c r="E3" s="12"/>
      <c r="F3" s="8" t="s">
        <v>7</v>
      </c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</row>
    <row r="4" spans="1:30" ht="17.25" customHeight="1" x14ac:dyDescent="0.35">
      <c r="A4" s="4" t="s">
        <v>8</v>
      </c>
      <c r="B4" s="5"/>
      <c r="C4" s="11">
        <v>46280</v>
      </c>
      <c r="D4" s="5"/>
      <c r="E4" s="13"/>
      <c r="F4" s="8" t="s">
        <v>9</v>
      </c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</row>
    <row r="5" spans="1:30" ht="17.25" customHeight="1" x14ac:dyDescent="0.35">
      <c r="A5" s="5"/>
      <c r="B5" s="5"/>
      <c r="C5" s="5"/>
      <c r="D5" s="5"/>
      <c r="E5" s="14"/>
      <c r="F5" s="8" t="s">
        <v>10</v>
      </c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  <c r="AD5" s="5"/>
    </row>
    <row r="6" spans="1:30" ht="17.25" customHeight="1" x14ac:dyDescent="0.35">
      <c r="A6" s="5"/>
      <c r="B6" s="51" t="s">
        <v>133</v>
      </c>
      <c r="C6" s="51"/>
      <c r="D6" s="51"/>
      <c r="E6" s="51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5"/>
      <c r="AC6" s="5"/>
      <c r="AD6" s="5"/>
    </row>
    <row r="7" spans="1:30" ht="17.25" customHeight="1" x14ac:dyDescent="0.35">
      <c r="A7" s="5"/>
      <c r="B7" s="15" t="s">
        <v>12</v>
      </c>
      <c r="C7" s="15" t="s">
        <v>13</v>
      </c>
      <c r="D7" s="15" t="s">
        <v>14</v>
      </c>
      <c r="E7" s="15" t="s">
        <v>15</v>
      </c>
      <c r="F7" s="15" t="s">
        <v>16</v>
      </c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/>
      <c r="AC7" s="5"/>
      <c r="AD7" s="5"/>
    </row>
    <row r="8" spans="1:30" ht="17.25" customHeight="1" x14ac:dyDescent="0.35">
      <c r="A8" s="5"/>
      <c r="B8" s="16">
        <v>1</v>
      </c>
      <c r="C8" s="17" t="s">
        <v>17</v>
      </c>
      <c r="D8" s="18">
        <f>SUMPRODUCT(ISNUMBER(SEARCH($F8,$E$16:$E$81))*$G$16:$G$81/(LEN($E$16:$E$81)-LEN(SUBSTITUTE($E$16:$E$81,",",""))+1))+SUMIF($E$16:$E$81,"All team",$G$16:$G$81)/COUNTA($F$8:$F$12)</f>
        <v>50.733333333333341</v>
      </c>
      <c r="E8" s="18">
        <f>SUMPRODUCT(ISNUMBER(SEARCH($F8,$E$16:$E$81))*$H$16:$H$81/(LEN($E$16:$E$81)-LEN(SUBSTITUTE($E$16:$E$81,",",""))+1))+SUMIF($E$16:$E$81,"All team",$H$16:$H$81)/COUNTA($F$8:$F$12)</f>
        <v>50.733333333333341</v>
      </c>
      <c r="F8" s="17" t="s">
        <v>18</v>
      </c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/>
      <c r="AC8" s="5"/>
      <c r="AD8" s="5"/>
    </row>
    <row r="9" spans="1:30" ht="17.25" customHeight="1" x14ac:dyDescent="0.35">
      <c r="A9" s="5"/>
      <c r="B9" s="16">
        <v>2</v>
      </c>
      <c r="C9" s="17" t="s">
        <v>19</v>
      </c>
      <c r="D9" s="18">
        <f>SUMPRODUCT(ISNUMBER(SEARCH($F9,$E$16:$E$81))*$G$16:$G$81/(LEN($E$16:$E$81)-LEN(SUBSTITUTE($E$16:$E$81,",",""))+1))+SUMIF($E$16:$E$81,"All team",$G$16:$G$81)/COUNTA($F$8:$F$12)</f>
        <v>95.733333333333334</v>
      </c>
      <c r="E9" s="18">
        <f>SUMPRODUCT(ISNUMBER(SEARCH($F9,$E$16:$E$81))*$H$16:$H$81/(LEN($E$16:$E$81)-LEN(SUBSTITUTE($E$16:$E$81,",",""))+1))+SUMIF($E$16:$E$81,"All team",$H$16:$H$81)/COUNTA($F$8:$F$12)</f>
        <v>95.733333333333334</v>
      </c>
      <c r="F9" s="17" t="s">
        <v>20</v>
      </c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/>
      <c r="AC9" s="5"/>
      <c r="AD9" s="5"/>
    </row>
    <row r="10" spans="1:30" ht="17.25" customHeight="1" x14ac:dyDescent="0.35">
      <c r="A10" s="5"/>
      <c r="B10" s="16">
        <v>3</v>
      </c>
      <c r="C10" s="17" t="s">
        <v>21</v>
      </c>
      <c r="D10" s="18">
        <f>SUMPRODUCT(ISNUMBER(SEARCH($F10,$E$16:$E$81))*$G$16:$G$81/(LEN($E$16:$E$81)-LEN(SUBSTITUTE($E$16:$E$81,",",""))+1))+SUMIF($E$16:$E$81,"All team",$G$16:$G$81)/COUNTA($F$8:$F$12)</f>
        <v>26.733333333333331</v>
      </c>
      <c r="E10" s="18">
        <f>SUMPRODUCT(ISNUMBER(SEARCH($F10,$E$16:$E$81))*$H$16:$H$81/(LEN($E$16:$E$81)-LEN(SUBSTITUTE($E$16:$E$81,",",""))+1))+SUMIF($E$16:$E$81,"All team",$H$16:$H$81)/COUNTA($F$8:$F$12)</f>
        <v>26.733333333333331</v>
      </c>
      <c r="F10" s="17" t="s">
        <v>22</v>
      </c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</row>
    <row r="11" spans="1:30" ht="17.25" customHeight="1" x14ac:dyDescent="0.35">
      <c r="A11" s="5"/>
      <c r="B11" s="16">
        <v>4</v>
      </c>
      <c r="C11" s="17" t="s">
        <v>23</v>
      </c>
      <c r="D11" s="18">
        <f>SUMPRODUCT(ISNUMBER(SEARCH($F11,$E$16:$E$81))*$G$16:$G$81/(LEN($E$16:$E$81)-LEN(SUBSTITUTE($E$16:$E$81,",",""))+1))+SUMIF($E$16:$E$81,"All team",$G$16:$G$81)/COUNTA($F$8:$F$12)</f>
        <v>16.399999999999999</v>
      </c>
      <c r="E11" s="18">
        <f>SUMPRODUCT(ISNUMBER(SEARCH($F11,$E$16:$E$81))*$H$16:$H$81/(LEN($E$16:$E$81)-LEN(SUBSTITUTE($E$16:$E$81,",",""))+1))+SUMIF($E$16:$E$81,"All team",$H$16:$H$81)/COUNTA($F$8:$F$12)</f>
        <v>16.399999999999999</v>
      </c>
      <c r="F11" s="17" t="s">
        <v>24</v>
      </c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</row>
    <row r="12" spans="1:30" ht="17.25" customHeight="1" x14ac:dyDescent="0.35">
      <c r="A12" s="5"/>
      <c r="B12" s="16">
        <v>5</v>
      </c>
      <c r="C12" s="17" t="s">
        <v>25</v>
      </c>
      <c r="D12" s="18" cm="1">
        <f t="array" ref="D12">SUMPRODUCT(ISNUMBER(SEARCH($F12,$E$16:$E$81))*$G$16:$G$81/(LEN($E$16:$E$81)-LEN(SUBSTITUTE($E$16:$E$81,",",""))+1))+SUMIF($E$16:$E$81,"All team",$G$16:$G$81)/COUNTA($F$8:$F$12)</f>
        <v>27.4</v>
      </c>
      <c r="E12" s="18">
        <f>SUMPRODUCT(ISNUMBER(SEARCH($F12,$E$16:$E$81))*$H$16:$H$81/(LEN($E$16:$E$81)-LEN(SUBSTITUTE($E$16:$E$81,",",""))+1))+SUMIF($E$16:$E$81,"All team",$H$16:$H$81)/COUNTA($F$8:$F$12)</f>
        <v>11.4</v>
      </c>
      <c r="F12" s="17" t="s">
        <v>26</v>
      </c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</row>
    <row r="13" spans="1:30" ht="17.25" customHeight="1" x14ac:dyDescent="0.35">
      <c r="A13" s="5"/>
      <c r="B13" s="51" t="s">
        <v>27</v>
      </c>
      <c r="C13" s="51"/>
      <c r="D13" s="19">
        <f>SUM(D8:D12)</f>
        <v>217</v>
      </c>
      <c r="E13" s="19">
        <f>SUM(E8:E12)</f>
        <v>201</v>
      </c>
      <c r="F13" s="20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</row>
    <row r="14" spans="1:30" ht="17.25" customHeight="1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</row>
    <row r="15" spans="1:30" ht="62.25" customHeight="1" x14ac:dyDescent="0.35">
      <c r="A15" s="1" t="s">
        <v>28</v>
      </c>
      <c r="B15" s="1" t="s">
        <v>29</v>
      </c>
      <c r="C15" s="52" t="s">
        <v>30</v>
      </c>
      <c r="D15" s="52"/>
      <c r="E15" s="52" t="s">
        <v>31</v>
      </c>
      <c r="F15" s="52"/>
      <c r="G15" s="1" t="s">
        <v>14</v>
      </c>
      <c r="H15" s="1" t="s">
        <v>15</v>
      </c>
      <c r="I15" s="2">
        <f>$C$3</f>
        <v>46265</v>
      </c>
      <c r="J15" s="2">
        <f t="shared" ref="J15:W15" si="0">I15+1</f>
        <v>46266</v>
      </c>
      <c r="K15" s="2">
        <f t="shared" si="0"/>
        <v>46267</v>
      </c>
      <c r="L15" s="2">
        <f t="shared" si="0"/>
        <v>46268</v>
      </c>
      <c r="M15" s="2">
        <f t="shared" si="0"/>
        <v>46269</v>
      </c>
      <c r="N15" s="2">
        <f t="shared" si="0"/>
        <v>46270</v>
      </c>
      <c r="O15" s="2">
        <f t="shared" si="0"/>
        <v>46271</v>
      </c>
      <c r="P15" s="2">
        <f t="shared" si="0"/>
        <v>46272</v>
      </c>
      <c r="Q15" s="2">
        <f t="shared" si="0"/>
        <v>46273</v>
      </c>
      <c r="R15" s="2">
        <f t="shared" si="0"/>
        <v>46274</v>
      </c>
      <c r="S15" s="2">
        <f t="shared" si="0"/>
        <v>46275</v>
      </c>
      <c r="T15" s="2">
        <f t="shared" si="0"/>
        <v>46276</v>
      </c>
      <c r="U15" s="2">
        <f t="shared" si="0"/>
        <v>46277</v>
      </c>
      <c r="V15" s="2">
        <f t="shared" si="0"/>
        <v>46278</v>
      </c>
      <c r="W15" s="2">
        <f t="shared" si="0"/>
        <v>46279</v>
      </c>
      <c r="X15" s="2">
        <f>W15+1</f>
        <v>46280</v>
      </c>
      <c r="Y15" s="2">
        <f>X15+1</f>
        <v>46281</v>
      </c>
    </row>
    <row r="16" spans="1:30" ht="17.25" customHeight="1" x14ac:dyDescent="0.35">
      <c r="A16" s="45" t="s">
        <v>132</v>
      </c>
      <c r="B16" s="46" t="s">
        <v>32</v>
      </c>
      <c r="C16" s="46"/>
      <c r="D16" s="46"/>
      <c r="E16" s="45" t="s">
        <v>33</v>
      </c>
      <c r="F16" s="45"/>
      <c r="G16" s="8">
        <v>5</v>
      </c>
      <c r="H16" s="8">
        <v>5</v>
      </c>
      <c r="I16" s="8">
        <v>5</v>
      </c>
      <c r="J16" s="21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</row>
    <row r="17" spans="1:25" ht="17.25" customHeight="1" x14ac:dyDescent="0.35">
      <c r="A17" s="45"/>
      <c r="B17" s="46" t="s">
        <v>134</v>
      </c>
      <c r="C17" s="46"/>
      <c r="D17" s="46"/>
      <c r="E17" s="45" t="s">
        <v>20</v>
      </c>
      <c r="F17" s="45"/>
      <c r="G17" s="8">
        <v>5</v>
      </c>
      <c r="H17" s="8">
        <v>5</v>
      </c>
      <c r="I17" s="8">
        <v>5</v>
      </c>
      <c r="J17" s="21">
        <v>0</v>
      </c>
      <c r="K17" s="30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</row>
    <row r="18" spans="1:25" ht="17.25" customHeight="1" x14ac:dyDescent="0.35">
      <c r="A18" s="45"/>
      <c r="B18" s="46" t="s">
        <v>35</v>
      </c>
      <c r="C18" s="46"/>
      <c r="D18" s="46"/>
      <c r="E18" s="45" t="s">
        <v>20</v>
      </c>
      <c r="F18" s="45"/>
      <c r="G18" s="8">
        <v>2</v>
      </c>
      <c r="H18" s="8">
        <v>2</v>
      </c>
      <c r="I18" s="8">
        <v>2</v>
      </c>
      <c r="J18" s="29">
        <v>0</v>
      </c>
      <c r="K18" s="31">
        <v>0</v>
      </c>
      <c r="L18" s="30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</row>
    <row r="19" spans="1:25" ht="17.25" customHeight="1" x14ac:dyDescent="0.35">
      <c r="A19" s="45"/>
      <c r="B19" s="53" t="s">
        <v>36</v>
      </c>
      <c r="C19" s="46" t="s">
        <v>135</v>
      </c>
      <c r="D19" s="46"/>
      <c r="E19" s="45" t="s">
        <v>26</v>
      </c>
      <c r="F19" s="45"/>
      <c r="G19" s="8">
        <v>6</v>
      </c>
      <c r="H19" s="8">
        <v>2</v>
      </c>
      <c r="I19" s="8">
        <v>2</v>
      </c>
      <c r="J19" s="8">
        <v>2</v>
      </c>
      <c r="K19" s="29">
        <v>0</v>
      </c>
      <c r="L19" s="8">
        <v>0</v>
      </c>
      <c r="M19" s="8">
        <v>0</v>
      </c>
      <c r="N19" s="8">
        <v>0</v>
      </c>
      <c r="O19" s="8">
        <v>0</v>
      </c>
      <c r="P19" s="8">
        <v>0</v>
      </c>
      <c r="Q19" s="8">
        <v>0</v>
      </c>
      <c r="R19" s="8">
        <v>0</v>
      </c>
      <c r="S19" s="8">
        <v>0</v>
      </c>
      <c r="T19" s="8">
        <v>0</v>
      </c>
      <c r="U19" s="8">
        <v>0</v>
      </c>
      <c r="V19" s="8">
        <v>0</v>
      </c>
      <c r="W19" s="8">
        <v>0</v>
      </c>
      <c r="X19" s="8">
        <v>0</v>
      </c>
      <c r="Y19" s="8">
        <v>0</v>
      </c>
    </row>
    <row r="20" spans="1:25" ht="17.25" customHeight="1" x14ac:dyDescent="0.35">
      <c r="A20" s="45"/>
      <c r="B20" s="53"/>
      <c r="C20" s="47"/>
      <c r="D20" s="48"/>
      <c r="E20" s="47"/>
      <c r="F20" s="48"/>
      <c r="G20" s="8"/>
      <c r="H20" s="8"/>
      <c r="I20" s="8"/>
      <c r="J20" s="8"/>
      <c r="K20" s="32">
        <v>4</v>
      </c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>
        <v>0</v>
      </c>
    </row>
    <row r="21" spans="1:25" ht="17.25" customHeight="1" x14ac:dyDescent="0.35">
      <c r="A21" s="45"/>
      <c r="B21" s="45"/>
      <c r="C21" s="46" t="s">
        <v>136</v>
      </c>
      <c r="D21" s="46"/>
      <c r="E21" s="45" t="s">
        <v>26</v>
      </c>
      <c r="F21" s="45"/>
      <c r="G21" s="8">
        <v>6</v>
      </c>
      <c r="H21" s="8">
        <v>2</v>
      </c>
      <c r="I21" s="8">
        <v>2</v>
      </c>
      <c r="J21" s="8">
        <v>2</v>
      </c>
      <c r="K21" s="29">
        <v>0</v>
      </c>
      <c r="L21" s="8">
        <v>0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0</v>
      </c>
      <c r="S21" s="8">
        <v>0</v>
      </c>
      <c r="T21" s="8">
        <v>0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</row>
    <row r="22" spans="1:25" ht="17.25" customHeight="1" x14ac:dyDescent="0.35">
      <c r="A22" s="45"/>
      <c r="B22" s="45"/>
      <c r="C22" s="47"/>
      <c r="D22" s="48"/>
      <c r="E22" s="47"/>
      <c r="F22" s="48"/>
      <c r="G22" s="8"/>
      <c r="H22" s="8"/>
      <c r="I22" s="8"/>
      <c r="J22" s="8"/>
      <c r="K22" s="32">
        <v>4</v>
      </c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>
        <v>0</v>
      </c>
    </row>
    <row r="23" spans="1:25" ht="17.25" customHeight="1" x14ac:dyDescent="0.35">
      <c r="A23" s="45"/>
      <c r="B23" s="45"/>
      <c r="C23" s="46" t="s">
        <v>137</v>
      </c>
      <c r="D23" s="46"/>
      <c r="E23" s="45" t="s">
        <v>26</v>
      </c>
      <c r="F23" s="45"/>
      <c r="G23" s="8">
        <v>6</v>
      </c>
      <c r="H23" s="8">
        <v>2</v>
      </c>
      <c r="I23" s="8">
        <v>2</v>
      </c>
      <c r="J23" s="8">
        <v>2</v>
      </c>
      <c r="K23" s="29">
        <v>0</v>
      </c>
      <c r="L23" s="8">
        <v>0</v>
      </c>
      <c r="M23" s="8">
        <v>0</v>
      </c>
      <c r="N23" s="8">
        <v>0</v>
      </c>
      <c r="O23" s="8">
        <v>0</v>
      </c>
      <c r="P23" s="8">
        <v>0</v>
      </c>
      <c r="Q23" s="8">
        <v>0</v>
      </c>
      <c r="R23" s="8">
        <v>0</v>
      </c>
      <c r="S23" s="8">
        <v>0</v>
      </c>
      <c r="T23" s="8">
        <v>0</v>
      </c>
      <c r="U23" s="8">
        <v>0</v>
      </c>
      <c r="V23" s="8">
        <v>0</v>
      </c>
      <c r="W23" s="8">
        <v>0</v>
      </c>
      <c r="X23" s="8">
        <v>0</v>
      </c>
      <c r="Y23" s="8">
        <v>0</v>
      </c>
    </row>
    <row r="24" spans="1:25" ht="17.25" customHeight="1" x14ac:dyDescent="0.35">
      <c r="A24" s="45"/>
      <c r="B24" s="45"/>
      <c r="C24" s="47"/>
      <c r="D24" s="48"/>
      <c r="E24" s="47"/>
      <c r="F24" s="48"/>
      <c r="G24" s="8"/>
      <c r="H24" s="8"/>
      <c r="I24" s="8"/>
      <c r="J24" s="8"/>
      <c r="K24" s="32">
        <v>4</v>
      </c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>
        <v>0</v>
      </c>
    </row>
    <row r="25" spans="1:25" ht="17.25" customHeight="1" x14ac:dyDescent="0.35">
      <c r="A25" s="45"/>
      <c r="B25" s="45"/>
      <c r="C25" s="46" t="s">
        <v>138</v>
      </c>
      <c r="D25" s="46"/>
      <c r="E25" s="45" t="s">
        <v>26</v>
      </c>
      <c r="F25" s="45"/>
      <c r="G25" s="8">
        <v>6</v>
      </c>
      <c r="H25" s="8">
        <v>2</v>
      </c>
      <c r="I25" s="8">
        <v>2</v>
      </c>
      <c r="J25" s="8">
        <v>2</v>
      </c>
      <c r="K25" s="29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</row>
    <row r="26" spans="1:25" ht="17.25" customHeight="1" x14ac:dyDescent="0.35">
      <c r="A26" s="45"/>
      <c r="B26" s="45"/>
      <c r="C26" s="47"/>
      <c r="D26" s="48"/>
      <c r="E26" s="47"/>
      <c r="F26" s="48"/>
      <c r="G26" s="8"/>
      <c r="H26" s="8"/>
      <c r="I26" s="8"/>
      <c r="J26" s="8"/>
      <c r="K26" s="32">
        <v>4</v>
      </c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>
        <v>0</v>
      </c>
    </row>
    <row r="27" spans="1:25" ht="17.25" customHeight="1" x14ac:dyDescent="0.35">
      <c r="A27" s="45"/>
      <c r="B27" s="45"/>
      <c r="C27" s="46" t="s">
        <v>139</v>
      </c>
      <c r="D27" s="46"/>
      <c r="E27" s="45" t="s">
        <v>22</v>
      </c>
      <c r="F27" s="45"/>
      <c r="G27" s="8">
        <f t="shared" ref="G27:G54" si="1">H27</f>
        <v>2</v>
      </c>
      <c r="H27" s="8">
        <v>2</v>
      </c>
      <c r="I27" s="8">
        <v>2</v>
      </c>
      <c r="J27" s="8">
        <v>2</v>
      </c>
      <c r="K27" s="29">
        <v>0</v>
      </c>
      <c r="L27" s="8">
        <v>0</v>
      </c>
      <c r="M27" s="8">
        <v>0</v>
      </c>
      <c r="N27" s="8">
        <v>0</v>
      </c>
      <c r="O27" s="8">
        <v>0</v>
      </c>
      <c r="P27" s="8">
        <v>0</v>
      </c>
      <c r="Q27" s="8">
        <v>0</v>
      </c>
      <c r="R27" s="8">
        <v>0</v>
      </c>
      <c r="S27" s="8">
        <v>0</v>
      </c>
      <c r="T27" s="8">
        <v>0</v>
      </c>
      <c r="U27" s="8">
        <v>0</v>
      </c>
      <c r="V27" s="8">
        <v>0</v>
      </c>
      <c r="W27" s="8">
        <v>0</v>
      </c>
      <c r="X27" s="8">
        <v>0</v>
      </c>
      <c r="Y27" s="8">
        <v>0</v>
      </c>
    </row>
    <row r="28" spans="1:25" ht="17.25" customHeight="1" x14ac:dyDescent="0.35">
      <c r="A28" s="45"/>
      <c r="B28" s="45"/>
      <c r="C28" s="46" t="s">
        <v>140</v>
      </c>
      <c r="D28" s="46"/>
      <c r="E28" s="45" t="s">
        <v>18</v>
      </c>
      <c r="F28" s="45"/>
      <c r="G28" s="8">
        <f>H28</f>
        <v>2</v>
      </c>
      <c r="H28" s="8">
        <v>2</v>
      </c>
      <c r="I28" s="8">
        <v>2</v>
      </c>
      <c r="J28" s="8">
        <v>2</v>
      </c>
      <c r="K28" s="29">
        <v>0</v>
      </c>
      <c r="L28" s="8">
        <v>0</v>
      </c>
      <c r="M28" s="8">
        <v>0</v>
      </c>
      <c r="N28" s="8">
        <v>0</v>
      </c>
      <c r="O28" s="8">
        <v>0</v>
      </c>
      <c r="P28" s="8">
        <v>0</v>
      </c>
      <c r="Q28" s="8">
        <v>0</v>
      </c>
      <c r="R28" s="8">
        <v>0</v>
      </c>
      <c r="S28" s="8">
        <v>0</v>
      </c>
      <c r="T28" s="8">
        <v>0</v>
      </c>
      <c r="U28" s="8">
        <v>0</v>
      </c>
      <c r="V28" s="8">
        <v>0</v>
      </c>
      <c r="W28" s="8">
        <v>0</v>
      </c>
      <c r="X28" s="8">
        <v>0</v>
      </c>
      <c r="Y28" s="8">
        <v>0</v>
      </c>
    </row>
    <row r="29" spans="1:25" ht="17.25" customHeight="1" x14ac:dyDescent="0.35">
      <c r="A29" s="45"/>
      <c r="B29" s="53"/>
      <c r="C29" s="46" t="s">
        <v>141</v>
      </c>
      <c r="D29" s="46"/>
      <c r="E29" s="45" t="s">
        <v>50</v>
      </c>
      <c r="F29" s="45"/>
      <c r="G29" s="8">
        <v>2</v>
      </c>
      <c r="H29" s="8">
        <v>2</v>
      </c>
      <c r="I29" s="8">
        <v>2</v>
      </c>
      <c r="J29" s="8">
        <v>2</v>
      </c>
      <c r="K29" s="8">
        <v>2</v>
      </c>
      <c r="L29" s="8">
        <v>2</v>
      </c>
      <c r="M29" s="29">
        <v>0</v>
      </c>
      <c r="N29" s="8">
        <v>0</v>
      </c>
      <c r="O29" s="8">
        <v>0</v>
      </c>
      <c r="P29" s="8">
        <v>0</v>
      </c>
      <c r="Q29" s="8">
        <v>0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0</v>
      </c>
      <c r="Y29" s="8">
        <v>0</v>
      </c>
    </row>
    <row r="30" spans="1:25" ht="17.25" customHeight="1" x14ac:dyDescent="0.35">
      <c r="A30" s="45"/>
      <c r="B30" s="53" t="s">
        <v>51</v>
      </c>
      <c r="C30" s="43" t="s">
        <v>142</v>
      </c>
      <c r="D30" s="44"/>
      <c r="E30" s="41" t="s">
        <v>20</v>
      </c>
      <c r="F30" s="42"/>
      <c r="G30" s="8">
        <f t="shared" si="1"/>
        <v>2</v>
      </c>
      <c r="H30" s="33">
        <v>2</v>
      </c>
      <c r="I30" s="33">
        <v>2</v>
      </c>
      <c r="J30" s="33">
        <v>2</v>
      </c>
      <c r="K30" s="33">
        <v>2</v>
      </c>
      <c r="L30" s="33">
        <v>2</v>
      </c>
      <c r="M30" s="21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0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</row>
    <row r="31" spans="1:25" ht="17.25" customHeight="1" x14ac:dyDescent="0.35">
      <c r="A31" s="45"/>
      <c r="B31" s="45"/>
      <c r="C31" s="43" t="s">
        <v>189</v>
      </c>
      <c r="D31" s="44"/>
      <c r="E31" s="41" t="s">
        <v>20</v>
      </c>
      <c r="F31" s="42"/>
      <c r="G31" s="8">
        <f t="shared" si="1"/>
        <v>4</v>
      </c>
      <c r="H31" s="33">
        <v>4</v>
      </c>
      <c r="I31" s="33">
        <v>4</v>
      </c>
      <c r="J31" s="33">
        <v>4</v>
      </c>
      <c r="K31" s="33">
        <v>4</v>
      </c>
      <c r="L31" s="33">
        <v>4</v>
      </c>
      <c r="M31" s="33">
        <v>4</v>
      </c>
      <c r="N31" s="33">
        <v>4</v>
      </c>
      <c r="O31" s="29">
        <v>0</v>
      </c>
      <c r="P31" s="8">
        <v>0</v>
      </c>
      <c r="Q31" s="8">
        <v>0</v>
      </c>
      <c r="R31" s="8">
        <v>0</v>
      </c>
      <c r="S31" s="8">
        <v>0</v>
      </c>
      <c r="T31" s="8">
        <v>0</v>
      </c>
      <c r="U31" s="8">
        <v>0</v>
      </c>
      <c r="V31" s="8">
        <v>0</v>
      </c>
      <c r="W31" s="8">
        <v>0</v>
      </c>
      <c r="X31" s="8">
        <v>0</v>
      </c>
      <c r="Y31" s="8">
        <v>0</v>
      </c>
    </row>
    <row r="32" spans="1:25" ht="17.25" customHeight="1" x14ac:dyDescent="0.35">
      <c r="A32" s="45"/>
      <c r="B32" s="45"/>
      <c r="C32" s="43" t="s">
        <v>190</v>
      </c>
      <c r="D32" s="44"/>
      <c r="E32" s="41" t="s">
        <v>20</v>
      </c>
      <c r="F32" s="42"/>
      <c r="G32" s="8">
        <f t="shared" si="1"/>
        <v>4</v>
      </c>
      <c r="H32" s="33">
        <v>4</v>
      </c>
      <c r="I32" s="33">
        <v>4</v>
      </c>
      <c r="J32" s="33">
        <v>4</v>
      </c>
      <c r="K32" s="33">
        <v>4</v>
      </c>
      <c r="L32" s="33">
        <v>4</v>
      </c>
      <c r="M32" s="33">
        <v>4</v>
      </c>
      <c r="N32" s="33">
        <v>4</v>
      </c>
      <c r="O32" s="33">
        <v>4</v>
      </c>
      <c r="P32" s="31">
        <v>0</v>
      </c>
      <c r="Q32" s="29">
        <v>0</v>
      </c>
      <c r="R32" s="31">
        <v>0</v>
      </c>
      <c r="S32" s="31">
        <v>0</v>
      </c>
      <c r="T32" s="31">
        <v>0</v>
      </c>
      <c r="U32" s="31">
        <v>0</v>
      </c>
      <c r="V32" s="31">
        <v>0</v>
      </c>
      <c r="W32" s="31">
        <v>0</v>
      </c>
      <c r="X32" s="31">
        <v>0</v>
      </c>
      <c r="Y32" s="8">
        <v>0</v>
      </c>
    </row>
    <row r="33" spans="1:25" ht="17.25" customHeight="1" x14ac:dyDescent="0.35">
      <c r="A33" s="45"/>
      <c r="B33" s="45"/>
      <c r="C33" s="43" t="s">
        <v>191</v>
      </c>
      <c r="D33" s="44"/>
      <c r="E33" s="41" t="s">
        <v>20</v>
      </c>
      <c r="F33" s="42"/>
      <c r="G33" s="8">
        <f t="shared" si="1"/>
        <v>2</v>
      </c>
      <c r="H33" s="33">
        <v>2</v>
      </c>
      <c r="I33" s="33">
        <v>2</v>
      </c>
      <c r="J33" s="33">
        <v>2</v>
      </c>
      <c r="K33" s="33">
        <v>2</v>
      </c>
      <c r="L33" s="33">
        <v>2</v>
      </c>
      <c r="M33" s="33">
        <v>2</v>
      </c>
      <c r="N33" s="33">
        <v>2</v>
      </c>
      <c r="O33" s="33">
        <v>2</v>
      </c>
      <c r="P33" s="33">
        <v>2</v>
      </c>
      <c r="Q33" s="33">
        <v>2</v>
      </c>
      <c r="R33" s="29">
        <v>0</v>
      </c>
      <c r="S33" s="31">
        <v>0</v>
      </c>
      <c r="T33" s="31">
        <v>0</v>
      </c>
      <c r="U33" s="31">
        <v>0</v>
      </c>
      <c r="V33" s="31">
        <v>0</v>
      </c>
      <c r="W33" s="31">
        <v>0</v>
      </c>
      <c r="X33" s="31">
        <v>0</v>
      </c>
      <c r="Y33" s="8">
        <v>0</v>
      </c>
    </row>
    <row r="34" spans="1:25" ht="17.25" customHeight="1" x14ac:dyDescent="0.35">
      <c r="A34" s="45"/>
      <c r="B34" s="45"/>
      <c r="C34" s="43" t="s">
        <v>192</v>
      </c>
      <c r="D34" s="44"/>
      <c r="E34" s="41" t="s">
        <v>20</v>
      </c>
      <c r="F34" s="42"/>
      <c r="G34" s="8">
        <f t="shared" si="1"/>
        <v>3</v>
      </c>
      <c r="H34" s="33">
        <v>3</v>
      </c>
      <c r="I34" s="33">
        <v>3</v>
      </c>
      <c r="J34" s="33">
        <v>3</v>
      </c>
      <c r="K34" s="33">
        <v>3</v>
      </c>
      <c r="L34" s="33">
        <v>3</v>
      </c>
      <c r="M34" s="33">
        <v>3</v>
      </c>
      <c r="N34" s="33">
        <v>3</v>
      </c>
      <c r="O34" s="33">
        <v>3</v>
      </c>
      <c r="P34" s="33">
        <v>3</v>
      </c>
      <c r="Q34" s="33">
        <v>3</v>
      </c>
      <c r="R34" s="33">
        <v>3</v>
      </c>
      <c r="S34" s="33">
        <v>3</v>
      </c>
      <c r="T34" s="29">
        <v>0</v>
      </c>
      <c r="U34" s="31">
        <v>0</v>
      </c>
      <c r="V34" s="31">
        <v>0</v>
      </c>
      <c r="W34" s="31">
        <v>0</v>
      </c>
      <c r="X34" s="31">
        <v>0</v>
      </c>
      <c r="Y34" s="8">
        <v>0</v>
      </c>
    </row>
    <row r="35" spans="1:25" ht="17.25" customHeight="1" x14ac:dyDescent="0.35">
      <c r="A35" s="45"/>
      <c r="B35" s="45"/>
      <c r="C35" s="43" t="s">
        <v>193</v>
      </c>
      <c r="D35" s="44"/>
      <c r="E35" s="41" t="s">
        <v>63</v>
      </c>
      <c r="F35" s="42"/>
      <c r="G35" s="8">
        <f t="shared" si="1"/>
        <v>2</v>
      </c>
      <c r="H35" s="33">
        <v>2</v>
      </c>
      <c r="I35" s="33">
        <v>2</v>
      </c>
      <c r="J35" s="33">
        <v>2</v>
      </c>
      <c r="K35" s="33">
        <v>2</v>
      </c>
      <c r="L35" s="33">
        <v>2</v>
      </c>
      <c r="M35" s="33">
        <v>2</v>
      </c>
      <c r="N35" s="33">
        <v>2</v>
      </c>
      <c r="O35" s="33">
        <v>2</v>
      </c>
      <c r="P35" s="33">
        <v>2</v>
      </c>
      <c r="Q35" s="33">
        <v>2</v>
      </c>
      <c r="R35" s="33">
        <v>2</v>
      </c>
      <c r="S35" s="33">
        <v>2</v>
      </c>
      <c r="T35" s="33">
        <v>2</v>
      </c>
      <c r="U35" s="29">
        <v>0</v>
      </c>
      <c r="V35" s="31">
        <v>0</v>
      </c>
      <c r="W35" s="31">
        <v>0</v>
      </c>
      <c r="X35" s="31">
        <v>0</v>
      </c>
      <c r="Y35" s="8">
        <v>0</v>
      </c>
    </row>
    <row r="36" spans="1:25" ht="17.25" customHeight="1" x14ac:dyDescent="0.35">
      <c r="A36" s="45"/>
      <c r="B36" s="45"/>
      <c r="C36" s="43" t="s">
        <v>143</v>
      </c>
      <c r="D36" s="44"/>
      <c r="E36" s="41" t="s">
        <v>20</v>
      </c>
      <c r="F36" s="42"/>
      <c r="G36" s="8">
        <v>3</v>
      </c>
      <c r="H36" s="33">
        <v>3</v>
      </c>
      <c r="I36" s="33">
        <v>3</v>
      </c>
      <c r="J36" s="33">
        <v>3</v>
      </c>
      <c r="K36" s="33">
        <v>3</v>
      </c>
      <c r="L36" s="33">
        <v>3</v>
      </c>
      <c r="M36" s="33">
        <v>3</v>
      </c>
      <c r="N36" s="33">
        <v>3</v>
      </c>
      <c r="O36" s="33">
        <v>3</v>
      </c>
      <c r="P36" s="33">
        <v>3</v>
      </c>
      <c r="Q36" s="33">
        <v>3</v>
      </c>
      <c r="R36" s="33">
        <v>3</v>
      </c>
      <c r="S36" s="33">
        <v>3</v>
      </c>
      <c r="T36" s="33">
        <v>3</v>
      </c>
      <c r="U36" s="33">
        <v>3</v>
      </c>
      <c r="V36" s="29">
        <v>0</v>
      </c>
      <c r="W36" s="31">
        <v>0</v>
      </c>
      <c r="X36" s="31">
        <v>0</v>
      </c>
      <c r="Y36" s="8">
        <v>0</v>
      </c>
    </row>
    <row r="37" spans="1:25" ht="17.25" customHeight="1" x14ac:dyDescent="0.35">
      <c r="A37" s="45"/>
      <c r="B37" s="45"/>
      <c r="C37" s="43" t="s">
        <v>194</v>
      </c>
      <c r="D37" s="44"/>
      <c r="E37" s="41" t="s">
        <v>20</v>
      </c>
      <c r="F37" s="42"/>
      <c r="G37" s="8">
        <f t="shared" si="1"/>
        <v>4</v>
      </c>
      <c r="H37" s="33">
        <v>4</v>
      </c>
      <c r="I37" s="33">
        <v>4</v>
      </c>
      <c r="J37" s="33">
        <v>4</v>
      </c>
      <c r="K37" s="33">
        <v>4</v>
      </c>
      <c r="L37" s="33">
        <v>4</v>
      </c>
      <c r="M37" s="33">
        <v>4</v>
      </c>
      <c r="N37" s="33">
        <v>4</v>
      </c>
      <c r="O37" s="33">
        <v>4</v>
      </c>
      <c r="P37" s="33">
        <v>4</v>
      </c>
      <c r="Q37" s="33">
        <v>4</v>
      </c>
      <c r="R37" s="33">
        <v>4</v>
      </c>
      <c r="S37" s="33">
        <v>4</v>
      </c>
      <c r="T37" s="33">
        <v>4</v>
      </c>
      <c r="U37" s="33">
        <v>4</v>
      </c>
      <c r="V37" s="33">
        <v>4</v>
      </c>
      <c r="W37" s="33">
        <v>4</v>
      </c>
      <c r="X37" s="29">
        <v>0</v>
      </c>
      <c r="Y37" s="8">
        <v>0</v>
      </c>
    </row>
    <row r="38" spans="1:25" ht="17.25" customHeight="1" x14ac:dyDescent="0.35">
      <c r="A38" s="45"/>
      <c r="B38" s="53"/>
      <c r="C38" s="46" t="s">
        <v>144</v>
      </c>
      <c r="D38" s="46"/>
      <c r="E38" s="45" t="s">
        <v>50</v>
      </c>
      <c r="F38" s="45"/>
      <c r="G38" s="8">
        <f t="shared" si="1"/>
        <v>5</v>
      </c>
      <c r="H38" s="8">
        <v>5</v>
      </c>
      <c r="I38" s="8">
        <v>5</v>
      </c>
      <c r="J38" s="8">
        <v>5</v>
      </c>
      <c r="K38" s="8">
        <v>5</v>
      </c>
      <c r="L38" s="8">
        <v>5</v>
      </c>
      <c r="M38" s="8">
        <v>5</v>
      </c>
      <c r="N38" s="8">
        <v>5</v>
      </c>
      <c r="O38" s="8">
        <v>5</v>
      </c>
      <c r="P38" s="8">
        <v>5</v>
      </c>
      <c r="Q38" s="8">
        <v>5</v>
      </c>
      <c r="R38" s="8">
        <v>5</v>
      </c>
      <c r="S38" s="8">
        <v>5</v>
      </c>
      <c r="T38" s="8">
        <v>5</v>
      </c>
      <c r="U38" s="8">
        <v>5</v>
      </c>
      <c r="V38" s="8">
        <v>5</v>
      </c>
      <c r="W38" s="8">
        <v>5</v>
      </c>
      <c r="X38" s="8">
        <v>5</v>
      </c>
      <c r="Y38" s="29">
        <v>0</v>
      </c>
    </row>
    <row r="39" spans="1:25" ht="17.25" customHeight="1" x14ac:dyDescent="0.35">
      <c r="A39" s="45"/>
      <c r="B39" s="53" t="s">
        <v>66</v>
      </c>
      <c r="C39" s="43" t="s">
        <v>145</v>
      </c>
      <c r="D39" s="44"/>
      <c r="E39" s="54" t="s">
        <v>20</v>
      </c>
      <c r="F39" s="54"/>
      <c r="G39" s="8">
        <f t="shared" si="1"/>
        <v>4</v>
      </c>
      <c r="H39" s="33">
        <v>4</v>
      </c>
      <c r="I39" s="33">
        <v>4</v>
      </c>
      <c r="J39" s="33">
        <v>4</v>
      </c>
      <c r="K39" s="33">
        <v>4</v>
      </c>
      <c r="L39" s="33">
        <v>4</v>
      </c>
      <c r="M39" s="29">
        <v>0</v>
      </c>
      <c r="N39" s="8">
        <v>0</v>
      </c>
      <c r="O39" s="8">
        <v>0</v>
      </c>
      <c r="P39" s="8">
        <v>0</v>
      </c>
      <c r="Q39" s="8">
        <v>0</v>
      </c>
      <c r="R39" s="8">
        <v>0</v>
      </c>
      <c r="S39" s="8">
        <v>0</v>
      </c>
      <c r="T39" s="8">
        <v>0</v>
      </c>
      <c r="U39" s="8">
        <v>0</v>
      </c>
      <c r="V39" s="8">
        <v>0</v>
      </c>
      <c r="W39" s="8">
        <v>0</v>
      </c>
      <c r="X39" s="8">
        <v>0</v>
      </c>
      <c r="Y39" s="8">
        <v>0</v>
      </c>
    </row>
    <row r="40" spans="1:25" ht="17.25" customHeight="1" x14ac:dyDescent="0.35">
      <c r="A40" s="45"/>
      <c r="B40" s="45"/>
      <c r="C40" s="43" t="s">
        <v>146</v>
      </c>
      <c r="D40" s="44"/>
      <c r="E40" s="54" t="s">
        <v>18</v>
      </c>
      <c r="F40" s="54"/>
      <c r="G40" s="8">
        <f t="shared" si="1"/>
        <v>6</v>
      </c>
      <c r="H40" s="33">
        <v>6</v>
      </c>
      <c r="I40" s="33">
        <v>6</v>
      </c>
      <c r="J40" s="33">
        <v>6</v>
      </c>
      <c r="K40" s="33">
        <v>6</v>
      </c>
      <c r="L40" s="33">
        <v>6</v>
      </c>
      <c r="M40" s="29">
        <v>0</v>
      </c>
      <c r="N40" s="8">
        <v>0</v>
      </c>
      <c r="O40" s="8">
        <v>0</v>
      </c>
      <c r="P40" s="8">
        <v>0</v>
      </c>
      <c r="Q40" s="8">
        <v>0</v>
      </c>
      <c r="R40" s="8">
        <v>0</v>
      </c>
      <c r="S40" s="8">
        <v>0</v>
      </c>
      <c r="T40" s="8">
        <v>0</v>
      </c>
      <c r="U40" s="8">
        <v>0</v>
      </c>
      <c r="V40" s="8">
        <v>0</v>
      </c>
      <c r="W40" s="8">
        <v>0</v>
      </c>
      <c r="X40" s="8">
        <v>0</v>
      </c>
      <c r="Y40" s="8">
        <v>0</v>
      </c>
    </row>
    <row r="41" spans="1:25" ht="17.25" customHeight="1" x14ac:dyDescent="0.35">
      <c r="A41" s="45"/>
      <c r="B41" s="45"/>
      <c r="C41" s="43" t="s">
        <v>195</v>
      </c>
      <c r="D41" s="44"/>
      <c r="E41" s="54" t="s">
        <v>20</v>
      </c>
      <c r="F41" s="54"/>
      <c r="G41" s="8">
        <v>4</v>
      </c>
      <c r="H41" s="33">
        <v>4</v>
      </c>
      <c r="I41" s="33">
        <v>4</v>
      </c>
      <c r="J41" s="33">
        <v>4</v>
      </c>
      <c r="K41" s="33">
        <v>4</v>
      </c>
      <c r="L41" s="33">
        <v>4</v>
      </c>
      <c r="M41" s="33">
        <v>4</v>
      </c>
      <c r="N41" s="29">
        <v>0</v>
      </c>
      <c r="O41" s="30">
        <v>0</v>
      </c>
      <c r="P41" s="30">
        <v>0</v>
      </c>
      <c r="Q41" s="30">
        <v>0</v>
      </c>
      <c r="R41" s="30">
        <v>0</v>
      </c>
      <c r="S41" s="30">
        <v>0</v>
      </c>
      <c r="T41" s="30">
        <v>0</v>
      </c>
      <c r="U41" s="30">
        <v>0</v>
      </c>
      <c r="V41" s="30">
        <v>0</v>
      </c>
      <c r="W41" s="30">
        <v>0</v>
      </c>
      <c r="X41" s="30">
        <v>0</v>
      </c>
      <c r="Y41" s="30">
        <v>0</v>
      </c>
    </row>
    <row r="42" spans="1:25" s="37" customFormat="1" ht="17.25" customHeight="1" x14ac:dyDescent="0.35">
      <c r="A42" s="45"/>
      <c r="B42" s="45"/>
      <c r="C42" s="43" t="s">
        <v>196</v>
      </c>
      <c r="D42" s="44"/>
      <c r="E42" s="54" t="s">
        <v>147</v>
      </c>
      <c r="F42" s="54"/>
      <c r="G42" s="38">
        <v>10</v>
      </c>
      <c r="H42" s="38">
        <v>10</v>
      </c>
      <c r="I42" s="38">
        <v>10</v>
      </c>
      <c r="J42" s="38">
        <v>10</v>
      </c>
      <c r="K42" s="38">
        <v>10</v>
      </c>
      <c r="L42" s="38">
        <v>10</v>
      </c>
      <c r="M42" s="38">
        <v>10</v>
      </c>
      <c r="N42" s="39">
        <v>0</v>
      </c>
      <c r="O42" s="30">
        <v>0</v>
      </c>
      <c r="P42" s="30">
        <v>0</v>
      </c>
      <c r="Q42" s="30">
        <v>0</v>
      </c>
      <c r="R42" s="30">
        <v>0</v>
      </c>
      <c r="S42" s="30">
        <v>0</v>
      </c>
      <c r="T42" s="30">
        <v>0</v>
      </c>
      <c r="U42" s="30">
        <v>0</v>
      </c>
      <c r="V42" s="30">
        <v>0</v>
      </c>
      <c r="W42" s="30">
        <v>0</v>
      </c>
      <c r="X42" s="30">
        <v>0</v>
      </c>
      <c r="Y42" s="30">
        <v>0</v>
      </c>
    </row>
    <row r="43" spans="1:25" ht="17.25" customHeight="1" x14ac:dyDescent="0.35">
      <c r="A43" s="45"/>
      <c r="B43" s="45"/>
      <c r="C43" s="43" t="s">
        <v>197</v>
      </c>
      <c r="D43" s="44"/>
      <c r="E43" s="54" t="s">
        <v>20</v>
      </c>
      <c r="F43" s="54"/>
      <c r="G43" s="8">
        <f t="shared" si="1"/>
        <v>4</v>
      </c>
      <c r="H43" s="33">
        <v>4</v>
      </c>
      <c r="I43" s="33">
        <v>4</v>
      </c>
      <c r="J43" s="33">
        <v>4</v>
      </c>
      <c r="K43" s="33">
        <v>4</v>
      </c>
      <c r="L43" s="33">
        <v>4</v>
      </c>
      <c r="M43" s="33">
        <v>4</v>
      </c>
      <c r="N43" s="33">
        <v>4</v>
      </c>
      <c r="O43" s="33">
        <v>4</v>
      </c>
      <c r="P43" s="29">
        <v>0</v>
      </c>
      <c r="Q43" s="30">
        <v>0</v>
      </c>
      <c r="R43" s="30">
        <v>0</v>
      </c>
      <c r="S43" s="30">
        <v>0</v>
      </c>
      <c r="T43" s="31">
        <v>0</v>
      </c>
      <c r="U43" s="31">
        <v>0</v>
      </c>
      <c r="V43" s="31">
        <v>0</v>
      </c>
      <c r="W43" s="31">
        <v>0</v>
      </c>
      <c r="X43" s="31">
        <v>0</v>
      </c>
      <c r="Y43" s="31">
        <v>0</v>
      </c>
    </row>
    <row r="44" spans="1:25" ht="17.25" customHeight="1" x14ac:dyDescent="0.35">
      <c r="A44" s="45"/>
      <c r="B44" s="45"/>
      <c r="C44" s="43" t="s">
        <v>198</v>
      </c>
      <c r="D44" s="44"/>
      <c r="E44" s="54" t="s">
        <v>147</v>
      </c>
      <c r="F44" s="54"/>
      <c r="G44" s="8">
        <f t="shared" si="1"/>
        <v>6</v>
      </c>
      <c r="H44" s="33">
        <v>6</v>
      </c>
      <c r="I44" s="33">
        <v>6</v>
      </c>
      <c r="J44" s="33">
        <v>6</v>
      </c>
      <c r="K44" s="33">
        <v>6</v>
      </c>
      <c r="L44" s="33">
        <v>6</v>
      </c>
      <c r="M44" s="33">
        <v>6</v>
      </c>
      <c r="N44" s="33">
        <v>6</v>
      </c>
      <c r="O44" s="33">
        <v>6</v>
      </c>
      <c r="P44" s="29">
        <v>0</v>
      </c>
      <c r="Q44" s="31">
        <v>0</v>
      </c>
      <c r="R44" s="31">
        <v>0</v>
      </c>
      <c r="S44" s="31">
        <v>0</v>
      </c>
      <c r="T44" s="31">
        <v>0</v>
      </c>
      <c r="U44" s="31">
        <v>0</v>
      </c>
      <c r="V44" s="31">
        <v>0</v>
      </c>
      <c r="W44" s="31">
        <v>0</v>
      </c>
      <c r="X44" s="31">
        <v>0</v>
      </c>
      <c r="Y44" s="31">
        <v>0</v>
      </c>
    </row>
    <row r="45" spans="1:25" ht="17.25" customHeight="1" x14ac:dyDescent="0.35">
      <c r="A45" s="45"/>
      <c r="B45" s="45"/>
      <c r="C45" s="43" t="s">
        <v>199</v>
      </c>
      <c r="D45" s="44"/>
      <c r="E45" s="54" t="s">
        <v>20</v>
      </c>
      <c r="F45" s="54"/>
      <c r="G45" s="8">
        <f t="shared" si="1"/>
        <v>4</v>
      </c>
      <c r="H45" s="33">
        <v>4</v>
      </c>
      <c r="I45" s="33">
        <v>4</v>
      </c>
      <c r="J45" s="33">
        <v>4</v>
      </c>
      <c r="K45" s="33">
        <v>4</v>
      </c>
      <c r="L45" s="33">
        <v>4</v>
      </c>
      <c r="M45" s="33">
        <v>4</v>
      </c>
      <c r="N45" s="33">
        <v>4</v>
      </c>
      <c r="O45" s="33">
        <v>4</v>
      </c>
      <c r="P45" s="33">
        <v>4</v>
      </c>
      <c r="Q45" s="33">
        <v>4</v>
      </c>
      <c r="R45" s="29">
        <v>0</v>
      </c>
      <c r="S45" s="30">
        <v>0</v>
      </c>
      <c r="T45" s="31">
        <v>0</v>
      </c>
      <c r="U45" s="31">
        <v>0</v>
      </c>
      <c r="V45" s="31">
        <v>0</v>
      </c>
      <c r="W45" s="31">
        <v>0</v>
      </c>
      <c r="X45" s="31">
        <v>0</v>
      </c>
      <c r="Y45" s="31">
        <v>0</v>
      </c>
    </row>
    <row r="46" spans="1:25" ht="17.25" customHeight="1" x14ac:dyDescent="0.35">
      <c r="A46" s="45"/>
      <c r="B46" s="45"/>
      <c r="C46" s="43" t="s">
        <v>200</v>
      </c>
      <c r="D46" s="44"/>
      <c r="E46" s="54" t="s">
        <v>18</v>
      </c>
      <c r="F46" s="54"/>
      <c r="G46" s="8">
        <f t="shared" si="1"/>
        <v>6</v>
      </c>
      <c r="H46" s="33">
        <v>6</v>
      </c>
      <c r="I46" s="33">
        <v>6</v>
      </c>
      <c r="J46" s="33">
        <v>6</v>
      </c>
      <c r="K46" s="33">
        <v>6</v>
      </c>
      <c r="L46" s="33">
        <v>6</v>
      </c>
      <c r="M46" s="33">
        <v>6</v>
      </c>
      <c r="N46" s="33">
        <v>6</v>
      </c>
      <c r="O46" s="33">
        <v>6</v>
      </c>
      <c r="P46" s="33">
        <v>6</v>
      </c>
      <c r="Q46" s="33">
        <v>6</v>
      </c>
      <c r="R46" s="29">
        <v>0</v>
      </c>
      <c r="S46" s="30">
        <v>0</v>
      </c>
      <c r="T46" s="30">
        <v>0</v>
      </c>
      <c r="U46" s="31">
        <v>0</v>
      </c>
      <c r="V46" s="31">
        <v>0</v>
      </c>
      <c r="W46" s="31">
        <v>0</v>
      </c>
      <c r="X46" s="31">
        <v>0</v>
      </c>
      <c r="Y46" s="31">
        <v>0</v>
      </c>
    </row>
    <row r="47" spans="1:25" ht="17.25" customHeight="1" x14ac:dyDescent="0.35">
      <c r="A47" s="45"/>
      <c r="B47" s="45"/>
      <c r="C47" s="43" t="s">
        <v>201</v>
      </c>
      <c r="D47" s="44"/>
      <c r="E47" s="54" t="s">
        <v>20</v>
      </c>
      <c r="F47" s="54"/>
      <c r="G47" s="8">
        <f t="shared" si="1"/>
        <v>3</v>
      </c>
      <c r="H47" s="33">
        <v>3</v>
      </c>
      <c r="I47" s="33">
        <v>3</v>
      </c>
      <c r="J47" s="33">
        <v>3</v>
      </c>
      <c r="K47" s="33">
        <v>3</v>
      </c>
      <c r="L47" s="33">
        <v>3</v>
      </c>
      <c r="M47" s="33">
        <v>3</v>
      </c>
      <c r="N47" s="33">
        <v>3</v>
      </c>
      <c r="O47" s="33">
        <v>3</v>
      </c>
      <c r="P47" s="33">
        <v>3</v>
      </c>
      <c r="Q47" s="33">
        <v>3</v>
      </c>
      <c r="R47" s="33">
        <v>3</v>
      </c>
      <c r="S47" s="29">
        <v>0</v>
      </c>
      <c r="T47" s="30">
        <v>0</v>
      </c>
      <c r="U47" s="31">
        <v>0</v>
      </c>
      <c r="V47" s="31">
        <v>0</v>
      </c>
      <c r="W47" s="31">
        <v>0</v>
      </c>
      <c r="X47" s="31">
        <v>0</v>
      </c>
      <c r="Y47" s="31">
        <v>0</v>
      </c>
    </row>
    <row r="48" spans="1:25" ht="17.25" customHeight="1" x14ac:dyDescent="0.35">
      <c r="A48" s="45"/>
      <c r="B48" s="45"/>
      <c r="C48" s="43" t="s">
        <v>202</v>
      </c>
      <c r="D48" s="44"/>
      <c r="E48" s="54" t="s">
        <v>22</v>
      </c>
      <c r="F48" s="54"/>
      <c r="G48" s="8">
        <f t="shared" si="1"/>
        <v>6</v>
      </c>
      <c r="H48" s="33">
        <v>6</v>
      </c>
      <c r="I48" s="33">
        <v>6</v>
      </c>
      <c r="J48" s="33">
        <v>6</v>
      </c>
      <c r="K48" s="33">
        <v>6</v>
      </c>
      <c r="L48" s="33">
        <v>6</v>
      </c>
      <c r="M48" s="33">
        <v>6</v>
      </c>
      <c r="N48" s="33">
        <v>6</v>
      </c>
      <c r="O48" s="33">
        <v>6</v>
      </c>
      <c r="P48" s="33">
        <v>6</v>
      </c>
      <c r="Q48" s="33">
        <v>6</v>
      </c>
      <c r="R48" s="33">
        <v>6</v>
      </c>
      <c r="S48" s="29">
        <v>0</v>
      </c>
      <c r="T48" s="31">
        <v>3</v>
      </c>
      <c r="U48" s="30">
        <v>0</v>
      </c>
      <c r="V48" s="31">
        <v>0</v>
      </c>
      <c r="W48" s="31">
        <v>0</v>
      </c>
      <c r="X48" s="31">
        <v>0</v>
      </c>
      <c r="Y48" s="31">
        <v>0</v>
      </c>
    </row>
    <row r="49" spans="1:25" ht="17.25" customHeight="1" x14ac:dyDescent="0.35">
      <c r="A49" s="45"/>
      <c r="B49" s="45"/>
      <c r="C49" s="43" t="s">
        <v>203</v>
      </c>
      <c r="D49" s="44"/>
      <c r="E49" s="54" t="s">
        <v>20</v>
      </c>
      <c r="F49" s="54"/>
      <c r="G49" s="8">
        <f t="shared" si="1"/>
        <v>4</v>
      </c>
      <c r="H49" s="33">
        <v>4</v>
      </c>
      <c r="I49" s="33">
        <v>4</v>
      </c>
      <c r="J49" s="33">
        <v>4</v>
      </c>
      <c r="K49" s="33">
        <v>4</v>
      </c>
      <c r="L49" s="33">
        <v>4</v>
      </c>
      <c r="M49" s="33">
        <v>4</v>
      </c>
      <c r="N49" s="33">
        <v>4</v>
      </c>
      <c r="O49" s="33">
        <v>4</v>
      </c>
      <c r="P49" s="33">
        <v>4</v>
      </c>
      <c r="Q49" s="33">
        <v>4</v>
      </c>
      <c r="R49" s="33">
        <v>4</v>
      </c>
      <c r="S49" s="33">
        <v>4</v>
      </c>
      <c r="T49" s="33">
        <v>4</v>
      </c>
      <c r="U49" s="29">
        <v>0</v>
      </c>
      <c r="V49" s="31">
        <v>0</v>
      </c>
      <c r="W49" s="31">
        <v>0</v>
      </c>
      <c r="X49" s="31">
        <v>0</v>
      </c>
      <c r="Y49" s="31">
        <v>0</v>
      </c>
    </row>
    <row r="50" spans="1:25" ht="17.25" customHeight="1" x14ac:dyDescent="0.35">
      <c r="A50" s="45"/>
      <c r="B50" s="45"/>
      <c r="C50" s="43" t="s">
        <v>204</v>
      </c>
      <c r="D50" s="44"/>
      <c r="E50" s="54" t="s">
        <v>24</v>
      </c>
      <c r="F50" s="54"/>
      <c r="G50" s="8">
        <f t="shared" si="1"/>
        <v>6</v>
      </c>
      <c r="H50" s="33">
        <v>6</v>
      </c>
      <c r="I50" s="33">
        <v>6</v>
      </c>
      <c r="J50" s="33">
        <v>6</v>
      </c>
      <c r="K50" s="33">
        <v>6</v>
      </c>
      <c r="L50" s="33">
        <v>6</v>
      </c>
      <c r="M50" s="33">
        <v>6</v>
      </c>
      <c r="N50" s="33">
        <v>6</v>
      </c>
      <c r="O50" s="33">
        <v>6</v>
      </c>
      <c r="P50" s="33">
        <v>6</v>
      </c>
      <c r="Q50" s="33">
        <v>6</v>
      </c>
      <c r="R50" s="33">
        <v>6</v>
      </c>
      <c r="S50" s="33">
        <v>6</v>
      </c>
      <c r="T50" s="33">
        <v>6</v>
      </c>
      <c r="U50" s="21">
        <v>0</v>
      </c>
      <c r="V50" s="31">
        <v>0</v>
      </c>
      <c r="W50" s="31">
        <v>0</v>
      </c>
      <c r="X50" s="31">
        <v>0</v>
      </c>
      <c r="Y50" s="31">
        <v>0</v>
      </c>
    </row>
    <row r="51" spans="1:25" ht="17.25" customHeight="1" x14ac:dyDescent="0.35">
      <c r="A51" s="45"/>
      <c r="B51" s="45"/>
      <c r="C51" s="43" t="s">
        <v>148</v>
      </c>
      <c r="D51" s="44"/>
      <c r="E51" s="54" t="s">
        <v>20</v>
      </c>
      <c r="F51" s="54"/>
      <c r="G51" s="8">
        <f t="shared" si="1"/>
        <v>4</v>
      </c>
      <c r="H51" s="33">
        <v>4</v>
      </c>
      <c r="I51" s="33">
        <v>4</v>
      </c>
      <c r="J51" s="33">
        <v>4</v>
      </c>
      <c r="K51" s="33">
        <v>4</v>
      </c>
      <c r="L51" s="33">
        <v>4</v>
      </c>
      <c r="M51" s="33">
        <v>4</v>
      </c>
      <c r="N51" s="33">
        <v>4</v>
      </c>
      <c r="O51" s="33">
        <v>4</v>
      </c>
      <c r="P51" s="33">
        <v>4</v>
      </c>
      <c r="Q51" s="33">
        <v>4</v>
      </c>
      <c r="R51" s="33">
        <v>4</v>
      </c>
      <c r="S51" s="33">
        <v>4</v>
      </c>
      <c r="T51" s="33">
        <v>4</v>
      </c>
      <c r="U51" s="33">
        <v>4</v>
      </c>
      <c r="V51" s="29">
        <v>0</v>
      </c>
      <c r="W51" s="31">
        <v>0</v>
      </c>
      <c r="X51" s="31">
        <v>0</v>
      </c>
      <c r="Y51" s="31">
        <v>0</v>
      </c>
    </row>
    <row r="52" spans="1:25" ht="17.25" customHeight="1" x14ac:dyDescent="0.35">
      <c r="A52" s="45"/>
      <c r="B52" s="45"/>
      <c r="C52" s="43" t="s">
        <v>149</v>
      </c>
      <c r="D52" s="44"/>
      <c r="E52" s="54" t="s">
        <v>18</v>
      </c>
      <c r="F52" s="54"/>
      <c r="G52" s="8">
        <f t="shared" si="1"/>
        <v>6</v>
      </c>
      <c r="H52" s="33">
        <v>6</v>
      </c>
      <c r="I52" s="33">
        <v>6</v>
      </c>
      <c r="J52" s="33">
        <v>6</v>
      </c>
      <c r="K52" s="33">
        <v>6</v>
      </c>
      <c r="L52" s="33">
        <v>6</v>
      </c>
      <c r="M52" s="33">
        <v>6</v>
      </c>
      <c r="N52" s="33">
        <v>6</v>
      </c>
      <c r="O52" s="33">
        <v>6</v>
      </c>
      <c r="P52" s="33">
        <v>6</v>
      </c>
      <c r="Q52" s="33">
        <v>6</v>
      </c>
      <c r="R52" s="33">
        <v>6</v>
      </c>
      <c r="S52" s="33">
        <v>6</v>
      </c>
      <c r="T52" s="33">
        <v>6</v>
      </c>
      <c r="U52" s="33">
        <v>6</v>
      </c>
      <c r="V52" s="29">
        <v>0</v>
      </c>
      <c r="W52" s="31">
        <v>0</v>
      </c>
      <c r="X52" s="31">
        <v>0</v>
      </c>
      <c r="Y52" s="31">
        <v>0</v>
      </c>
    </row>
    <row r="53" spans="1:25" ht="17.25" customHeight="1" x14ac:dyDescent="0.35">
      <c r="A53" s="45"/>
      <c r="B53" s="45"/>
      <c r="C53" s="43" t="s">
        <v>205</v>
      </c>
      <c r="D53" s="44"/>
      <c r="E53" s="54" t="s">
        <v>20</v>
      </c>
      <c r="F53" s="54"/>
      <c r="G53" s="8">
        <f t="shared" si="1"/>
        <v>4</v>
      </c>
      <c r="H53" s="33">
        <v>4</v>
      </c>
      <c r="I53" s="33">
        <v>4</v>
      </c>
      <c r="J53" s="33">
        <v>4</v>
      </c>
      <c r="K53" s="33">
        <v>4</v>
      </c>
      <c r="L53" s="33">
        <v>4</v>
      </c>
      <c r="M53" s="33">
        <v>4</v>
      </c>
      <c r="N53" s="33">
        <v>4</v>
      </c>
      <c r="O53" s="33">
        <v>4</v>
      </c>
      <c r="P53" s="33">
        <v>4</v>
      </c>
      <c r="Q53" s="33">
        <v>4</v>
      </c>
      <c r="R53" s="33">
        <v>4</v>
      </c>
      <c r="S53" s="33">
        <v>4</v>
      </c>
      <c r="T53" s="33">
        <v>4</v>
      </c>
      <c r="U53" s="33">
        <v>4</v>
      </c>
      <c r="V53" s="33">
        <v>4</v>
      </c>
      <c r="W53" s="29">
        <v>0</v>
      </c>
      <c r="X53" s="31">
        <v>0</v>
      </c>
      <c r="Y53" s="31">
        <v>0</v>
      </c>
    </row>
    <row r="54" spans="1:25" ht="17.25" customHeight="1" x14ac:dyDescent="0.35">
      <c r="A54" s="45"/>
      <c r="B54" s="45"/>
      <c r="C54" s="43" t="s">
        <v>206</v>
      </c>
      <c r="D54" s="44"/>
      <c r="E54" s="54" t="s">
        <v>18</v>
      </c>
      <c r="F54" s="54"/>
      <c r="G54" s="8">
        <f t="shared" si="1"/>
        <v>8</v>
      </c>
      <c r="H54" s="33">
        <v>8</v>
      </c>
      <c r="I54" s="33">
        <v>8</v>
      </c>
      <c r="J54" s="33">
        <v>8</v>
      </c>
      <c r="K54" s="33">
        <v>8</v>
      </c>
      <c r="L54" s="33">
        <v>8</v>
      </c>
      <c r="M54" s="33">
        <v>8</v>
      </c>
      <c r="N54" s="33">
        <v>8</v>
      </c>
      <c r="O54" s="33">
        <v>8</v>
      </c>
      <c r="P54" s="33">
        <v>8</v>
      </c>
      <c r="Q54" s="33">
        <v>8</v>
      </c>
      <c r="R54" s="33">
        <v>8</v>
      </c>
      <c r="S54" s="33">
        <v>8</v>
      </c>
      <c r="T54" s="33">
        <v>8</v>
      </c>
      <c r="U54" s="33">
        <v>8</v>
      </c>
      <c r="V54" s="33">
        <v>8</v>
      </c>
      <c r="W54" s="29">
        <v>0</v>
      </c>
      <c r="X54" s="31">
        <v>0</v>
      </c>
      <c r="Y54" s="31">
        <v>0</v>
      </c>
    </row>
    <row r="55" spans="1:25" ht="17.25" customHeight="1" x14ac:dyDescent="0.35">
      <c r="A55" s="45"/>
      <c r="B55" s="53"/>
      <c r="C55" s="46" t="s">
        <v>91</v>
      </c>
      <c r="D55" s="46"/>
      <c r="E55" s="45" t="s">
        <v>50</v>
      </c>
      <c r="F55" s="45"/>
      <c r="G55" s="8">
        <f t="shared" ref="G55:G81" si="2">H55</f>
        <v>10</v>
      </c>
      <c r="H55" s="8">
        <v>10</v>
      </c>
      <c r="I55" s="8">
        <v>10</v>
      </c>
      <c r="J55" s="8">
        <v>10</v>
      </c>
      <c r="K55" s="8">
        <v>10</v>
      </c>
      <c r="L55" s="8">
        <v>10</v>
      </c>
      <c r="M55" s="8">
        <v>10</v>
      </c>
      <c r="N55" s="8">
        <v>10</v>
      </c>
      <c r="O55" s="8">
        <v>10</v>
      </c>
      <c r="P55" s="8">
        <v>10</v>
      </c>
      <c r="Q55" s="8">
        <v>10</v>
      </c>
      <c r="R55" s="8">
        <v>10</v>
      </c>
      <c r="S55" s="8">
        <v>10</v>
      </c>
      <c r="T55" s="8">
        <v>10</v>
      </c>
      <c r="U55" s="8">
        <v>10</v>
      </c>
      <c r="V55" s="8">
        <v>10</v>
      </c>
      <c r="W55" s="8">
        <v>10</v>
      </c>
      <c r="X55" s="29">
        <v>0</v>
      </c>
      <c r="Y55" s="31">
        <v>0</v>
      </c>
    </row>
    <row r="56" spans="1:25" ht="17.25" customHeight="1" x14ac:dyDescent="0.35">
      <c r="A56" s="45"/>
      <c r="B56" s="53" t="s">
        <v>92</v>
      </c>
      <c r="C56" s="43" t="s">
        <v>150</v>
      </c>
      <c r="D56" s="44"/>
      <c r="E56" s="41" t="s">
        <v>20</v>
      </c>
      <c r="F56" s="42"/>
      <c r="G56" s="8">
        <f t="shared" si="2"/>
        <v>2</v>
      </c>
      <c r="H56" s="33">
        <v>2</v>
      </c>
      <c r="I56" s="33">
        <v>2</v>
      </c>
      <c r="J56" s="33">
        <v>2</v>
      </c>
      <c r="K56" s="33">
        <v>2</v>
      </c>
      <c r="L56" s="33">
        <v>2</v>
      </c>
      <c r="M56" s="29">
        <v>0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0</v>
      </c>
      <c r="V56" s="8">
        <v>0</v>
      </c>
      <c r="W56" s="8">
        <v>0</v>
      </c>
      <c r="X56" s="8">
        <v>0</v>
      </c>
      <c r="Y56" s="8">
        <v>0</v>
      </c>
    </row>
    <row r="57" spans="1:25" ht="17.25" customHeight="1" x14ac:dyDescent="0.35">
      <c r="A57" s="45"/>
      <c r="B57" s="45"/>
      <c r="C57" s="43" t="s">
        <v>207</v>
      </c>
      <c r="D57" s="44"/>
      <c r="E57" s="41" t="s">
        <v>20</v>
      </c>
      <c r="F57" s="42"/>
      <c r="G57" s="8">
        <f t="shared" si="2"/>
        <v>3</v>
      </c>
      <c r="H57" s="33">
        <v>3</v>
      </c>
      <c r="I57" s="33">
        <v>3</v>
      </c>
      <c r="J57" s="33">
        <v>3</v>
      </c>
      <c r="K57" s="33">
        <v>3</v>
      </c>
      <c r="L57" s="33">
        <v>3</v>
      </c>
      <c r="M57" s="33">
        <v>3</v>
      </c>
      <c r="N57" s="33">
        <v>3</v>
      </c>
      <c r="O57" s="29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</row>
    <row r="58" spans="1:25" ht="17.25" customHeight="1" x14ac:dyDescent="0.35">
      <c r="A58" s="45"/>
      <c r="B58" s="45"/>
      <c r="C58" s="43" t="s">
        <v>208</v>
      </c>
      <c r="D58" s="44"/>
      <c r="E58" s="41" t="s">
        <v>20</v>
      </c>
      <c r="F58" s="42"/>
      <c r="G58" s="8">
        <f t="shared" si="2"/>
        <v>3</v>
      </c>
      <c r="H58" s="33">
        <v>3</v>
      </c>
      <c r="I58" s="33">
        <v>3</v>
      </c>
      <c r="J58" s="33">
        <v>3</v>
      </c>
      <c r="K58" s="33">
        <v>3</v>
      </c>
      <c r="L58" s="33">
        <v>3</v>
      </c>
      <c r="M58" s="33">
        <v>3</v>
      </c>
      <c r="N58" s="33">
        <v>3</v>
      </c>
      <c r="O58" s="33">
        <v>3</v>
      </c>
      <c r="P58" s="33">
        <v>3</v>
      </c>
      <c r="Q58" s="29">
        <v>0</v>
      </c>
      <c r="R58" s="8">
        <v>0</v>
      </c>
      <c r="S58" s="8">
        <v>0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</row>
    <row r="59" spans="1:25" ht="17.25" customHeight="1" x14ac:dyDescent="0.35">
      <c r="A59" s="45"/>
      <c r="B59" s="45"/>
      <c r="C59" s="43" t="s">
        <v>209</v>
      </c>
      <c r="D59" s="44"/>
      <c r="E59" s="41" t="s">
        <v>20</v>
      </c>
      <c r="F59" s="42"/>
      <c r="G59" s="8">
        <f t="shared" si="2"/>
        <v>2</v>
      </c>
      <c r="H59" s="33">
        <v>2</v>
      </c>
      <c r="I59" s="33">
        <v>2</v>
      </c>
      <c r="J59" s="33">
        <v>2</v>
      </c>
      <c r="K59" s="33">
        <v>2</v>
      </c>
      <c r="L59" s="33">
        <v>2</v>
      </c>
      <c r="M59" s="33">
        <v>2</v>
      </c>
      <c r="N59" s="33">
        <v>2</v>
      </c>
      <c r="O59" s="33">
        <v>2</v>
      </c>
      <c r="P59" s="33">
        <v>2</v>
      </c>
      <c r="Q59" s="33">
        <v>2</v>
      </c>
      <c r="R59" s="29">
        <v>0</v>
      </c>
      <c r="S59" s="8">
        <v>0</v>
      </c>
      <c r="T59" s="8">
        <v>0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</row>
    <row r="60" spans="1:25" ht="17.25" customHeight="1" x14ac:dyDescent="0.35">
      <c r="A60" s="45"/>
      <c r="B60" s="45"/>
      <c r="C60" s="43" t="s">
        <v>210</v>
      </c>
      <c r="D60" s="44"/>
      <c r="E60" s="41" t="s">
        <v>20</v>
      </c>
      <c r="F60" s="42"/>
      <c r="G60" s="8">
        <f t="shared" si="2"/>
        <v>2</v>
      </c>
      <c r="H60" s="33">
        <v>2</v>
      </c>
      <c r="I60" s="8">
        <v>2</v>
      </c>
      <c r="J60" s="8">
        <v>2</v>
      </c>
      <c r="K60" s="8">
        <v>2</v>
      </c>
      <c r="L60" s="8">
        <v>2</v>
      </c>
      <c r="M60" s="8">
        <v>2</v>
      </c>
      <c r="N60" s="8">
        <v>2</v>
      </c>
      <c r="O60" s="8">
        <v>2</v>
      </c>
      <c r="P60" s="8">
        <v>2</v>
      </c>
      <c r="Q60" s="8">
        <v>2</v>
      </c>
      <c r="R60" s="8">
        <v>2</v>
      </c>
      <c r="S60" s="8">
        <v>2</v>
      </c>
      <c r="T60" s="29">
        <v>0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</row>
    <row r="61" spans="1:25" ht="17.25" customHeight="1" x14ac:dyDescent="0.35">
      <c r="A61" s="45"/>
      <c r="B61" s="45"/>
      <c r="C61" s="43" t="s">
        <v>211</v>
      </c>
      <c r="D61" s="44"/>
      <c r="E61" s="41" t="s">
        <v>63</v>
      </c>
      <c r="F61" s="42"/>
      <c r="G61" s="8">
        <f t="shared" si="2"/>
        <v>2</v>
      </c>
      <c r="H61" s="33">
        <v>2</v>
      </c>
      <c r="I61" s="8">
        <v>2</v>
      </c>
      <c r="J61" s="8">
        <v>2</v>
      </c>
      <c r="K61" s="8">
        <v>2</v>
      </c>
      <c r="L61" s="8">
        <v>2</v>
      </c>
      <c r="M61" s="8">
        <v>2</v>
      </c>
      <c r="N61" s="8">
        <v>2</v>
      </c>
      <c r="O61" s="8">
        <v>2</v>
      </c>
      <c r="P61" s="8">
        <v>2</v>
      </c>
      <c r="Q61" s="8">
        <v>2</v>
      </c>
      <c r="R61" s="8">
        <v>2</v>
      </c>
      <c r="S61" s="8">
        <v>2</v>
      </c>
      <c r="T61" s="8">
        <v>2</v>
      </c>
      <c r="U61" s="29">
        <v>0</v>
      </c>
      <c r="V61" s="8">
        <v>0</v>
      </c>
      <c r="W61" s="8">
        <v>0</v>
      </c>
      <c r="X61" s="8">
        <v>0</v>
      </c>
      <c r="Y61" s="8">
        <v>0</v>
      </c>
    </row>
    <row r="62" spans="1:25" ht="17.25" customHeight="1" x14ac:dyDescent="0.35">
      <c r="A62" s="45"/>
      <c r="B62" s="45"/>
      <c r="C62" s="43" t="s">
        <v>151</v>
      </c>
      <c r="D62" s="44"/>
      <c r="E62" s="41" t="s">
        <v>152</v>
      </c>
      <c r="F62" s="42"/>
      <c r="G62" s="8">
        <v>2</v>
      </c>
      <c r="H62" s="33">
        <v>2</v>
      </c>
      <c r="I62" s="33">
        <v>2</v>
      </c>
      <c r="J62" s="33">
        <v>2</v>
      </c>
      <c r="K62" s="33">
        <v>2</v>
      </c>
      <c r="L62" s="33">
        <v>2</v>
      </c>
      <c r="M62" s="33">
        <v>2</v>
      </c>
      <c r="N62" s="33">
        <v>2</v>
      </c>
      <c r="O62" s="33">
        <v>2</v>
      </c>
      <c r="P62" s="33">
        <v>2</v>
      </c>
      <c r="Q62" s="33">
        <v>2</v>
      </c>
      <c r="R62" s="33">
        <v>2</v>
      </c>
      <c r="S62" s="33">
        <v>2</v>
      </c>
      <c r="T62" s="33">
        <v>2</v>
      </c>
      <c r="U62" s="33">
        <v>2</v>
      </c>
      <c r="V62" s="29">
        <v>0</v>
      </c>
      <c r="W62" s="8">
        <v>0</v>
      </c>
      <c r="X62" s="8">
        <v>0</v>
      </c>
      <c r="Y62" s="8">
        <v>0</v>
      </c>
    </row>
    <row r="63" spans="1:25" ht="17.25" customHeight="1" x14ac:dyDescent="0.35">
      <c r="A63" s="45"/>
      <c r="B63" s="53"/>
      <c r="C63" s="43" t="s">
        <v>212</v>
      </c>
      <c r="D63" s="44"/>
      <c r="E63" s="41" t="s">
        <v>152</v>
      </c>
      <c r="F63" s="42"/>
      <c r="G63" s="8">
        <f t="shared" si="2"/>
        <v>2</v>
      </c>
      <c r="H63" s="33">
        <v>2</v>
      </c>
      <c r="I63" s="8">
        <v>2</v>
      </c>
      <c r="J63" s="8">
        <v>2</v>
      </c>
      <c r="K63" s="8">
        <v>2</v>
      </c>
      <c r="L63" s="8">
        <v>2</v>
      </c>
      <c r="M63" s="8">
        <v>2</v>
      </c>
      <c r="N63" s="8">
        <v>2</v>
      </c>
      <c r="O63" s="8">
        <v>2</v>
      </c>
      <c r="P63" s="8">
        <v>2</v>
      </c>
      <c r="Q63" s="8">
        <v>2</v>
      </c>
      <c r="R63" s="8">
        <v>2</v>
      </c>
      <c r="S63" s="8">
        <v>2</v>
      </c>
      <c r="T63" s="8">
        <v>2</v>
      </c>
      <c r="U63" s="8">
        <v>2</v>
      </c>
      <c r="V63" s="8">
        <v>2</v>
      </c>
      <c r="W63" s="8">
        <v>2</v>
      </c>
      <c r="X63" s="29">
        <v>0</v>
      </c>
      <c r="Y63" s="8">
        <v>0</v>
      </c>
    </row>
    <row r="64" spans="1:25" ht="17.25" customHeight="1" x14ac:dyDescent="0.35">
      <c r="A64" s="45"/>
      <c r="B64" s="53" t="s">
        <v>102</v>
      </c>
      <c r="C64" s="43" t="s">
        <v>153</v>
      </c>
      <c r="D64" s="44"/>
      <c r="E64" s="45" t="s">
        <v>18</v>
      </c>
      <c r="F64" s="45"/>
      <c r="G64" s="8">
        <f t="shared" si="2"/>
        <v>2</v>
      </c>
      <c r="H64" s="33">
        <v>2</v>
      </c>
      <c r="I64" s="33">
        <v>2</v>
      </c>
      <c r="J64" s="33">
        <v>2</v>
      </c>
      <c r="K64" s="33">
        <v>2</v>
      </c>
      <c r="L64" s="33">
        <v>2</v>
      </c>
      <c r="M64" s="29">
        <v>0</v>
      </c>
      <c r="N64" s="8">
        <v>0</v>
      </c>
      <c r="O64" s="8">
        <v>0</v>
      </c>
      <c r="P64" s="8">
        <v>0</v>
      </c>
      <c r="Q64" s="8">
        <v>0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0</v>
      </c>
    </row>
    <row r="65" spans="1:25" ht="17.25" customHeight="1" x14ac:dyDescent="0.35">
      <c r="A65" s="45"/>
      <c r="B65" s="45"/>
      <c r="C65" s="43" t="s">
        <v>217</v>
      </c>
      <c r="D65" s="44"/>
      <c r="E65" s="45" t="s">
        <v>18</v>
      </c>
      <c r="F65" s="45"/>
      <c r="G65" s="8">
        <f t="shared" si="2"/>
        <v>3</v>
      </c>
      <c r="H65" s="33">
        <v>3</v>
      </c>
      <c r="I65" s="33">
        <v>3</v>
      </c>
      <c r="J65" s="33">
        <v>3</v>
      </c>
      <c r="K65" s="33">
        <v>3</v>
      </c>
      <c r="L65" s="33">
        <v>3</v>
      </c>
      <c r="M65" s="33">
        <v>3</v>
      </c>
      <c r="N65" s="33">
        <v>3</v>
      </c>
      <c r="O65" s="29">
        <v>0</v>
      </c>
      <c r="P65" s="8">
        <v>0</v>
      </c>
      <c r="Q65" s="8">
        <v>0</v>
      </c>
      <c r="R65" s="8">
        <v>0</v>
      </c>
      <c r="S65" s="8">
        <v>0</v>
      </c>
      <c r="T65" s="8">
        <v>0</v>
      </c>
      <c r="U65" s="8">
        <v>0</v>
      </c>
      <c r="V65" s="8">
        <v>0</v>
      </c>
      <c r="W65" s="8">
        <v>0</v>
      </c>
      <c r="X65" s="8">
        <v>0</v>
      </c>
      <c r="Y65" s="8">
        <v>0</v>
      </c>
    </row>
    <row r="66" spans="1:25" ht="17.25" customHeight="1" x14ac:dyDescent="0.35">
      <c r="A66" s="45"/>
      <c r="B66" s="45"/>
      <c r="C66" s="43" t="s">
        <v>213</v>
      </c>
      <c r="D66" s="44"/>
      <c r="E66" s="45" t="s">
        <v>18</v>
      </c>
      <c r="F66" s="45"/>
      <c r="G66" s="8">
        <f t="shared" si="2"/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</row>
    <row r="67" spans="1:25" s="37" customFormat="1" ht="17.25" customHeight="1" x14ac:dyDescent="0.35">
      <c r="A67" s="45"/>
      <c r="B67" s="45"/>
      <c r="C67" s="43" t="s">
        <v>218</v>
      </c>
      <c r="D67" s="44"/>
      <c r="E67" s="45" t="s">
        <v>18</v>
      </c>
      <c r="F67" s="45"/>
      <c r="G67" s="38">
        <v>2</v>
      </c>
      <c r="H67" s="33">
        <v>2</v>
      </c>
      <c r="I67" s="33">
        <v>2</v>
      </c>
      <c r="J67" s="33">
        <v>2</v>
      </c>
      <c r="K67" s="33">
        <v>2</v>
      </c>
      <c r="L67" s="33">
        <v>2</v>
      </c>
      <c r="M67" s="33">
        <v>2</v>
      </c>
      <c r="N67" s="33">
        <v>2</v>
      </c>
      <c r="O67" s="33">
        <v>2</v>
      </c>
      <c r="P67" s="33">
        <v>2</v>
      </c>
      <c r="Q67" s="33">
        <v>2</v>
      </c>
      <c r="R67" s="39">
        <v>0</v>
      </c>
      <c r="S67" s="38">
        <v>0</v>
      </c>
      <c r="T67" s="38">
        <v>0</v>
      </c>
      <c r="U67" s="38">
        <v>0</v>
      </c>
      <c r="V67" s="38">
        <v>0</v>
      </c>
      <c r="W67" s="38">
        <v>0</v>
      </c>
      <c r="X67" s="38">
        <v>0</v>
      </c>
      <c r="Y67" s="38">
        <v>0</v>
      </c>
    </row>
    <row r="68" spans="1:25" ht="17.25" customHeight="1" x14ac:dyDescent="0.35">
      <c r="A68" s="45"/>
      <c r="B68" s="45"/>
      <c r="C68" s="43" t="s">
        <v>214</v>
      </c>
      <c r="D68" s="44"/>
      <c r="E68" s="45" t="s">
        <v>18</v>
      </c>
      <c r="F68" s="45"/>
      <c r="G68" s="8">
        <f t="shared" si="2"/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</row>
    <row r="69" spans="1:25" ht="17.25" customHeight="1" x14ac:dyDescent="0.35">
      <c r="A69" s="45"/>
      <c r="B69" s="45"/>
      <c r="C69" s="43" t="s">
        <v>215</v>
      </c>
      <c r="D69" s="44"/>
      <c r="E69" s="45" t="s">
        <v>18</v>
      </c>
      <c r="F69" s="45"/>
      <c r="G69" s="8">
        <f t="shared" si="2"/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</row>
    <row r="70" spans="1:25" ht="17.25" customHeight="1" x14ac:dyDescent="0.35">
      <c r="A70" s="45"/>
      <c r="B70" s="45"/>
      <c r="C70" s="43" t="s">
        <v>154</v>
      </c>
      <c r="D70" s="44"/>
      <c r="E70" s="45" t="s">
        <v>18</v>
      </c>
      <c r="F70" s="45"/>
      <c r="G70" s="8">
        <f t="shared" si="2"/>
        <v>0</v>
      </c>
      <c r="H70" s="33">
        <v>0</v>
      </c>
      <c r="I70" s="33">
        <v>0</v>
      </c>
      <c r="J70" s="33">
        <v>0</v>
      </c>
      <c r="K70" s="33">
        <v>0</v>
      </c>
      <c r="L70" s="33">
        <v>0</v>
      </c>
      <c r="M70" s="33">
        <v>0</v>
      </c>
      <c r="N70" s="33">
        <v>0</v>
      </c>
      <c r="O70" s="33">
        <v>0</v>
      </c>
      <c r="P70" s="33">
        <v>0</v>
      </c>
      <c r="Q70" s="33">
        <v>0</v>
      </c>
      <c r="R70" s="33">
        <v>0</v>
      </c>
      <c r="S70" s="33">
        <v>0</v>
      </c>
      <c r="T70" s="33">
        <v>0</v>
      </c>
      <c r="U70" s="33">
        <v>0</v>
      </c>
      <c r="V70" s="33">
        <v>0</v>
      </c>
      <c r="W70" s="33">
        <v>0</v>
      </c>
      <c r="X70" s="33">
        <v>0</v>
      </c>
      <c r="Y70" s="33">
        <v>0</v>
      </c>
    </row>
    <row r="71" spans="1:25" ht="17.25" customHeight="1" x14ac:dyDescent="0.35">
      <c r="A71" s="45"/>
      <c r="B71" s="53"/>
      <c r="C71" s="43" t="s">
        <v>216</v>
      </c>
      <c r="D71" s="44"/>
      <c r="E71" s="45" t="s">
        <v>18</v>
      </c>
      <c r="F71" s="45"/>
      <c r="G71" s="8">
        <f t="shared" si="2"/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</row>
    <row r="72" spans="1:25" ht="17.25" customHeight="1" x14ac:dyDescent="0.35">
      <c r="A72" s="45"/>
      <c r="B72" s="53" t="s">
        <v>115</v>
      </c>
      <c r="C72" s="40" t="s">
        <v>155</v>
      </c>
      <c r="D72" s="40"/>
      <c r="E72" s="54" t="s">
        <v>20</v>
      </c>
      <c r="F72" s="54"/>
      <c r="G72" s="8">
        <f t="shared" si="2"/>
        <v>2</v>
      </c>
      <c r="H72" s="33">
        <v>2</v>
      </c>
      <c r="I72" s="33">
        <v>2</v>
      </c>
      <c r="J72" s="33">
        <v>2</v>
      </c>
      <c r="K72" s="33">
        <v>2</v>
      </c>
      <c r="L72" s="33">
        <v>2</v>
      </c>
      <c r="M72" s="29">
        <v>0</v>
      </c>
      <c r="N72" s="8">
        <v>0</v>
      </c>
      <c r="O72" s="8">
        <v>0</v>
      </c>
      <c r="P72" s="8">
        <v>0</v>
      </c>
      <c r="Q72" s="8">
        <v>0</v>
      </c>
      <c r="R72" s="8">
        <v>0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</row>
    <row r="73" spans="1:25" ht="17.25" customHeight="1" x14ac:dyDescent="0.35">
      <c r="A73" s="45"/>
      <c r="B73" s="45"/>
      <c r="C73" s="40" t="s">
        <v>219</v>
      </c>
      <c r="D73" s="40"/>
      <c r="E73" s="54" t="s">
        <v>20</v>
      </c>
      <c r="F73" s="54"/>
      <c r="G73" s="8">
        <f t="shared" si="2"/>
        <v>3</v>
      </c>
      <c r="H73" s="33">
        <v>3</v>
      </c>
      <c r="I73" s="33">
        <v>3</v>
      </c>
      <c r="J73" s="33">
        <v>3</v>
      </c>
      <c r="K73" s="33">
        <v>3</v>
      </c>
      <c r="L73" s="33">
        <v>3</v>
      </c>
      <c r="M73" s="33">
        <v>3</v>
      </c>
      <c r="N73" s="33">
        <v>3</v>
      </c>
      <c r="O73" s="29">
        <v>0</v>
      </c>
      <c r="P73" s="8">
        <v>0</v>
      </c>
      <c r="Q73" s="8">
        <v>0</v>
      </c>
      <c r="R73" s="8">
        <v>0</v>
      </c>
      <c r="S73" s="8">
        <v>0</v>
      </c>
      <c r="T73" s="8">
        <v>0</v>
      </c>
      <c r="U73" s="8">
        <v>0</v>
      </c>
      <c r="V73" s="8">
        <v>0</v>
      </c>
      <c r="W73" s="8">
        <v>0</v>
      </c>
      <c r="X73" s="8">
        <v>0</v>
      </c>
      <c r="Y73" s="8">
        <v>0</v>
      </c>
    </row>
    <row r="74" spans="1:25" ht="17.25" customHeight="1" x14ac:dyDescent="0.35">
      <c r="A74" s="45"/>
      <c r="B74" s="45"/>
      <c r="C74" s="40" t="s">
        <v>220</v>
      </c>
      <c r="D74" s="40"/>
      <c r="E74" s="54" t="s">
        <v>20</v>
      </c>
      <c r="F74" s="54"/>
      <c r="G74" s="8">
        <f t="shared" si="2"/>
        <v>3</v>
      </c>
      <c r="H74" s="33">
        <v>3</v>
      </c>
      <c r="I74" s="33">
        <v>3</v>
      </c>
      <c r="J74" s="33">
        <v>3</v>
      </c>
      <c r="K74" s="33">
        <v>3</v>
      </c>
      <c r="L74" s="33">
        <v>3</v>
      </c>
      <c r="M74" s="33">
        <v>3</v>
      </c>
      <c r="N74" s="33">
        <v>3</v>
      </c>
      <c r="O74" s="33">
        <v>3</v>
      </c>
      <c r="P74" s="33">
        <v>3</v>
      </c>
      <c r="Q74" s="29">
        <v>0</v>
      </c>
      <c r="R74" s="8">
        <v>0</v>
      </c>
      <c r="S74" s="8">
        <v>0</v>
      </c>
      <c r="T74" s="8">
        <v>0</v>
      </c>
      <c r="U74" s="8">
        <v>0</v>
      </c>
      <c r="V74" s="8">
        <v>0</v>
      </c>
      <c r="W74" s="8">
        <v>0</v>
      </c>
      <c r="X74" s="8">
        <v>0</v>
      </c>
      <c r="Y74" s="8">
        <v>0</v>
      </c>
    </row>
    <row r="75" spans="1:25" ht="17.25" customHeight="1" x14ac:dyDescent="0.35">
      <c r="A75" s="45"/>
      <c r="B75" s="45"/>
      <c r="C75" s="40" t="s">
        <v>221</v>
      </c>
      <c r="D75" s="40"/>
      <c r="E75" s="54" t="s">
        <v>20</v>
      </c>
      <c r="F75" s="54"/>
      <c r="G75" s="8">
        <f t="shared" si="2"/>
        <v>2</v>
      </c>
      <c r="H75" s="33">
        <v>2</v>
      </c>
      <c r="I75" s="33">
        <v>2</v>
      </c>
      <c r="J75" s="33">
        <v>2</v>
      </c>
      <c r="K75" s="33">
        <v>2</v>
      </c>
      <c r="L75" s="33">
        <v>2</v>
      </c>
      <c r="M75" s="33">
        <v>2</v>
      </c>
      <c r="N75" s="33">
        <v>2</v>
      </c>
      <c r="O75" s="33">
        <v>2</v>
      </c>
      <c r="P75" s="33">
        <v>2</v>
      </c>
      <c r="Q75" s="33">
        <v>2</v>
      </c>
      <c r="R75" s="29">
        <v>0</v>
      </c>
      <c r="S75" s="8">
        <v>0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</row>
    <row r="76" spans="1:25" ht="17.25" customHeight="1" x14ac:dyDescent="0.35">
      <c r="A76" s="45"/>
      <c r="B76" s="45"/>
      <c r="C76" s="40" t="s">
        <v>222</v>
      </c>
      <c r="D76" s="40"/>
      <c r="E76" s="54" t="s">
        <v>20</v>
      </c>
      <c r="F76" s="54"/>
      <c r="G76" s="8">
        <v>2</v>
      </c>
      <c r="H76" s="33">
        <v>2</v>
      </c>
      <c r="I76" s="33">
        <v>2</v>
      </c>
      <c r="J76" s="33">
        <v>2</v>
      </c>
      <c r="K76" s="33">
        <v>2</v>
      </c>
      <c r="L76" s="33">
        <v>2</v>
      </c>
      <c r="M76" s="33">
        <v>2</v>
      </c>
      <c r="N76" s="33">
        <v>2</v>
      </c>
      <c r="O76" s="33">
        <v>2</v>
      </c>
      <c r="P76" s="33">
        <v>2</v>
      </c>
      <c r="Q76" s="33">
        <v>2</v>
      </c>
      <c r="R76" s="33">
        <v>2</v>
      </c>
      <c r="S76" s="33">
        <v>2</v>
      </c>
      <c r="T76" s="29">
        <v>0</v>
      </c>
      <c r="U76" s="8">
        <v>0</v>
      </c>
      <c r="V76" s="8">
        <v>0</v>
      </c>
      <c r="W76" s="8">
        <v>0</v>
      </c>
      <c r="X76" s="8">
        <v>0</v>
      </c>
      <c r="Y76" s="8">
        <v>0</v>
      </c>
    </row>
    <row r="77" spans="1:25" ht="17.25" customHeight="1" x14ac:dyDescent="0.35">
      <c r="A77" s="45"/>
      <c r="B77" s="45"/>
      <c r="C77" s="40" t="s">
        <v>223</v>
      </c>
      <c r="D77" s="40"/>
      <c r="E77" s="54" t="s">
        <v>63</v>
      </c>
      <c r="F77" s="54"/>
      <c r="G77" s="8">
        <f t="shared" si="2"/>
        <v>2</v>
      </c>
      <c r="H77" s="33">
        <v>2</v>
      </c>
      <c r="I77" s="8">
        <v>2</v>
      </c>
      <c r="J77" s="8">
        <v>2</v>
      </c>
      <c r="K77" s="8">
        <v>2</v>
      </c>
      <c r="L77" s="8">
        <v>2</v>
      </c>
      <c r="M77" s="8">
        <v>2</v>
      </c>
      <c r="N77" s="8">
        <v>2</v>
      </c>
      <c r="O77" s="8">
        <v>2</v>
      </c>
      <c r="P77" s="8">
        <v>2</v>
      </c>
      <c r="Q77" s="8">
        <v>2</v>
      </c>
      <c r="R77" s="8">
        <v>2</v>
      </c>
      <c r="S77" s="8">
        <v>2</v>
      </c>
      <c r="T77" s="8">
        <v>2</v>
      </c>
      <c r="U77" s="29">
        <v>0</v>
      </c>
      <c r="V77" s="8">
        <v>0</v>
      </c>
      <c r="W77" s="8">
        <v>0</v>
      </c>
      <c r="X77" s="8">
        <v>0</v>
      </c>
      <c r="Y77" s="8">
        <v>0</v>
      </c>
    </row>
    <row r="78" spans="1:25" ht="17.25" customHeight="1" x14ac:dyDescent="0.35">
      <c r="A78" s="45"/>
      <c r="B78" s="45"/>
      <c r="C78" s="40" t="s">
        <v>156</v>
      </c>
      <c r="D78" s="40"/>
      <c r="E78" s="54" t="s">
        <v>152</v>
      </c>
      <c r="F78" s="54"/>
      <c r="G78" s="8">
        <f t="shared" si="2"/>
        <v>2</v>
      </c>
      <c r="H78" s="33">
        <v>2</v>
      </c>
      <c r="I78" s="8">
        <v>2</v>
      </c>
      <c r="J78" s="8">
        <v>2</v>
      </c>
      <c r="K78" s="8">
        <v>2</v>
      </c>
      <c r="L78" s="8">
        <v>2</v>
      </c>
      <c r="M78" s="8">
        <v>2</v>
      </c>
      <c r="N78" s="8">
        <v>2</v>
      </c>
      <c r="O78" s="8">
        <v>2</v>
      </c>
      <c r="P78" s="8">
        <v>2</v>
      </c>
      <c r="Q78" s="8">
        <v>2</v>
      </c>
      <c r="R78" s="8">
        <v>2</v>
      </c>
      <c r="S78" s="8">
        <v>2</v>
      </c>
      <c r="T78" s="8">
        <v>2</v>
      </c>
      <c r="U78" s="8">
        <v>2</v>
      </c>
      <c r="V78" s="29">
        <v>0</v>
      </c>
      <c r="W78" s="8">
        <v>2</v>
      </c>
      <c r="X78" s="8">
        <v>2</v>
      </c>
      <c r="Y78" s="8">
        <v>0</v>
      </c>
    </row>
    <row r="79" spans="1:25" ht="17.25" customHeight="1" x14ac:dyDescent="0.35">
      <c r="A79" s="45"/>
      <c r="B79" s="53"/>
      <c r="C79" s="40" t="s">
        <v>224</v>
      </c>
      <c r="D79" s="40"/>
      <c r="E79" s="54" t="s">
        <v>152</v>
      </c>
      <c r="F79" s="54"/>
      <c r="G79" s="8">
        <f t="shared" si="2"/>
        <v>2</v>
      </c>
      <c r="H79" s="33">
        <v>2</v>
      </c>
      <c r="I79" s="8">
        <v>2</v>
      </c>
      <c r="J79" s="8">
        <v>2</v>
      </c>
      <c r="K79" s="8">
        <v>2</v>
      </c>
      <c r="L79" s="8">
        <v>2</v>
      </c>
      <c r="M79" s="8">
        <v>2</v>
      </c>
      <c r="N79" s="8">
        <v>2</v>
      </c>
      <c r="O79" s="8">
        <v>2</v>
      </c>
      <c r="P79" s="8">
        <v>2</v>
      </c>
      <c r="Q79" s="8">
        <v>2</v>
      </c>
      <c r="R79" s="8">
        <v>2</v>
      </c>
      <c r="S79" s="8">
        <v>2</v>
      </c>
      <c r="T79" s="8">
        <v>2</v>
      </c>
      <c r="U79" s="8">
        <v>2</v>
      </c>
      <c r="V79" s="8">
        <v>2</v>
      </c>
      <c r="W79" s="8">
        <v>2</v>
      </c>
      <c r="X79" s="29">
        <v>0</v>
      </c>
      <c r="Y79" s="8">
        <v>0</v>
      </c>
    </row>
    <row r="80" spans="1:25" ht="17.25" customHeight="1" x14ac:dyDescent="0.35">
      <c r="A80" s="45"/>
      <c r="B80" s="53" t="s">
        <v>157</v>
      </c>
      <c r="C80" s="46" t="s">
        <v>158</v>
      </c>
      <c r="D80" s="46"/>
      <c r="E80" s="45" t="s">
        <v>33</v>
      </c>
      <c r="F80" s="45"/>
      <c r="G80" s="8">
        <f t="shared" si="2"/>
        <v>4</v>
      </c>
      <c r="H80" s="8">
        <v>4</v>
      </c>
      <c r="I80" s="8">
        <v>4</v>
      </c>
      <c r="J80" s="8">
        <v>4</v>
      </c>
      <c r="K80" s="8">
        <v>4</v>
      </c>
      <c r="L80" s="8">
        <v>4</v>
      </c>
      <c r="M80" s="8">
        <v>4</v>
      </c>
      <c r="N80" s="8">
        <v>4</v>
      </c>
      <c r="O80" s="8">
        <v>4</v>
      </c>
      <c r="P80" s="8">
        <v>4</v>
      </c>
      <c r="Q80" s="8">
        <v>4</v>
      </c>
      <c r="R80" s="8">
        <v>4</v>
      </c>
      <c r="S80" s="8">
        <v>4</v>
      </c>
      <c r="T80" s="8">
        <v>4</v>
      </c>
      <c r="U80" s="8">
        <v>4</v>
      </c>
      <c r="V80" s="8">
        <v>4</v>
      </c>
      <c r="W80" s="8">
        <v>4</v>
      </c>
      <c r="X80" s="8">
        <v>4</v>
      </c>
      <c r="Y80" s="29">
        <v>0</v>
      </c>
    </row>
    <row r="81" spans="1:30" ht="17.25" customHeight="1" x14ac:dyDescent="0.35">
      <c r="A81" s="45"/>
      <c r="B81" s="53"/>
      <c r="C81" s="46" t="s">
        <v>159</v>
      </c>
      <c r="D81" s="46"/>
      <c r="E81" s="45" t="s">
        <v>33</v>
      </c>
      <c r="F81" s="45"/>
      <c r="G81" s="8">
        <f t="shared" si="2"/>
        <v>4</v>
      </c>
      <c r="H81" s="8">
        <v>4</v>
      </c>
      <c r="I81" s="8">
        <v>4</v>
      </c>
      <c r="J81" s="8">
        <v>4</v>
      </c>
      <c r="K81" s="8">
        <v>4</v>
      </c>
      <c r="L81" s="8">
        <v>4</v>
      </c>
      <c r="M81" s="8">
        <v>4</v>
      </c>
      <c r="N81" s="8">
        <v>4</v>
      </c>
      <c r="O81" s="8">
        <v>4</v>
      </c>
      <c r="P81" s="8">
        <v>4</v>
      </c>
      <c r="Q81" s="8">
        <v>4</v>
      </c>
      <c r="R81" s="8">
        <v>4</v>
      </c>
      <c r="S81" s="8">
        <v>4</v>
      </c>
      <c r="T81" s="8">
        <v>4</v>
      </c>
      <c r="U81" s="8">
        <v>4</v>
      </c>
      <c r="V81" s="8">
        <v>4</v>
      </c>
      <c r="W81" s="8">
        <v>4</v>
      </c>
      <c r="X81" s="8">
        <v>4</v>
      </c>
      <c r="Y81" s="29">
        <v>0</v>
      </c>
    </row>
    <row r="82" spans="1:30" ht="17.25" customHeight="1" x14ac:dyDescent="0.35">
      <c r="A82" s="45"/>
      <c r="B82" s="55" t="s">
        <v>27</v>
      </c>
      <c r="C82" s="55"/>
      <c r="D82" s="55"/>
      <c r="E82" s="55" t="s">
        <v>14</v>
      </c>
      <c r="F82" s="55"/>
      <c r="G82" s="56">
        <f>SUM(G16:G81)</f>
        <v>217</v>
      </c>
      <c r="H82" s="57"/>
      <c r="I82" s="8">
        <f t="shared" ref="I82:Y82" si="3">SUM(I16:I81)</f>
        <v>201</v>
      </c>
      <c r="J82" s="8">
        <f t="shared" si="3"/>
        <v>189</v>
      </c>
      <c r="K82" s="8">
        <f t="shared" si="3"/>
        <v>193</v>
      </c>
      <c r="L82" s="8">
        <f t="shared" si="3"/>
        <v>177</v>
      </c>
      <c r="M82" s="8">
        <f t="shared" si="3"/>
        <v>157</v>
      </c>
      <c r="N82" s="8">
        <f t="shared" si="3"/>
        <v>143</v>
      </c>
      <c r="O82" s="8">
        <f t="shared" si="3"/>
        <v>130</v>
      </c>
      <c r="P82" s="8">
        <f t="shared" si="3"/>
        <v>116</v>
      </c>
      <c r="Q82" s="8">
        <f t="shared" si="3"/>
        <v>110</v>
      </c>
      <c r="R82" s="8">
        <f t="shared" si="3"/>
        <v>92</v>
      </c>
      <c r="S82" s="8">
        <f t="shared" si="3"/>
        <v>83</v>
      </c>
      <c r="T82" s="8">
        <f t="shared" si="3"/>
        <v>79</v>
      </c>
      <c r="U82" s="8">
        <f t="shared" si="3"/>
        <v>60</v>
      </c>
      <c r="V82" s="8">
        <f t="shared" si="3"/>
        <v>43</v>
      </c>
      <c r="W82" s="8">
        <f t="shared" si="3"/>
        <v>33</v>
      </c>
      <c r="X82" s="8">
        <f t="shared" si="3"/>
        <v>15</v>
      </c>
      <c r="Y82" s="8">
        <f t="shared" si="3"/>
        <v>0</v>
      </c>
    </row>
    <row r="83" spans="1:30" ht="17.25" customHeight="1" x14ac:dyDescent="0.35">
      <c r="A83" s="45"/>
      <c r="B83" s="45"/>
      <c r="C83" s="55"/>
      <c r="D83" s="55"/>
      <c r="E83" s="55" t="s">
        <v>15</v>
      </c>
      <c r="F83" s="55"/>
      <c r="G83" s="56">
        <f>SUM(H16:H81)</f>
        <v>201</v>
      </c>
      <c r="H83" s="57"/>
      <c r="I83" s="22">
        <f>SUMIFS(I$16:I$81,$H$16:$H$81,"&gt;0")</f>
        <v>201</v>
      </c>
      <c r="J83" s="22">
        <f t="shared" ref="J83:Y83" si="4">SUMIFS(J$16:J$81,$H$16:$H$81,"&gt;0")</f>
        <v>189</v>
      </c>
      <c r="K83" s="22">
        <f t="shared" si="4"/>
        <v>177</v>
      </c>
      <c r="L83" s="22">
        <f t="shared" si="4"/>
        <v>177</v>
      </c>
      <c r="M83" s="22">
        <f t="shared" si="4"/>
        <v>157</v>
      </c>
      <c r="N83" s="22">
        <f t="shared" si="4"/>
        <v>143</v>
      </c>
      <c r="O83" s="22">
        <f t="shared" si="4"/>
        <v>130</v>
      </c>
      <c r="P83" s="22">
        <f t="shared" si="4"/>
        <v>116</v>
      </c>
      <c r="Q83" s="22">
        <f t="shared" si="4"/>
        <v>110</v>
      </c>
      <c r="R83" s="22">
        <f t="shared" si="4"/>
        <v>92</v>
      </c>
      <c r="S83" s="22">
        <f t="shared" si="4"/>
        <v>83</v>
      </c>
      <c r="T83" s="22">
        <f t="shared" si="4"/>
        <v>79</v>
      </c>
      <c r="U83" s="22">
        <f t="shared" si="4"/>
        <v>60</v>
      </c>
      <c r="V83" s="22">
        <f t="shared" si="4"/>
        <v>43</v>
      </c>
      <c r="W83" s="22">
        <f t="shared" si="4"/>
        <v>33</v>
      </c>
      <c r="X83" s="22">
        <f t="shared" si="4"/>
        <v>15</v>
      </c>
      <c r="Y83" s="22">
        <f t="shared" si="4"/>
        <v>0</v>
      </c>
    </row>
    <row r="84" spans="1:30" x14ac:dyDescent="0.35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  <c r="AA84" s="5"/>
      <c r="AB84" s="5"/>
      <c r="AC84" s="5"/>
      <c r="AD84" s="5"/>
    </row>
  </sheetData>
  <mergeCells count="149">
    <mergeCell ref="B80:B81"/>
    <mergeCell ref="C80:D80"/>
    <mergeCell ref="E80:F80"/>
    <mergeCell ref="C81:D81"/>
    <mergeCell ref="E81:F81"/>
    <mergeCell ref="B82:D83"/>
    <mergeCell ref="E82:F82"/>
    <mergeCell ref="E83:F83"/>
    <mergeCell ref="G82:H82"/>
    <mergeCell ref="G83:H83"/>
    <mergeCell ref="B72:B79"/>
    <mergeCell ref="C72:D72"/>
    <mergeCell ref="E72:F72"/>
    <mergeCell ref="C73:D73"/>
    <mergeCell ref="E73:F73"/>
    <mergeCell ref="C74:D74"/>
    <mergeCell ref="E74:F74"/>
    <mergeCell ref="C75:D75"/>
    <mergeCell ref="E75:F75"/>
    <mergeCell ref="C77:D77"/>
    <mergeCell ref="E77:F77"/>
    <mergeCell ref="C78:D78"/>
    <mergeCell ref="E78:F78"/>
    <mergeCell ref="C79:D79"/>
    <mergeCell ref="E79:F79"/>
    <mergeCell ref="B64:B71"/>
    <mergeCell ref="C64:D64"/>
    <mergeCell ref="E64:F64"/>
    <mergeCell ref="C65:D65"/>
    <mergeCell ref="E65:F65"/>
    <mergeCell ref="C66:D66"/>
    <mergeCell ref="E66:F66"/>
    <mergeCell ref="C68:D68"/>
    <mergeCell ref="E68:F68"/>
    <mergeCell ref="C69:D69"/>
    <mergeCell ref="E69:F69"/>
    <mergeCell ref="C70:D70"/>
    <mergeCell ref="E70:F70"/>
    <mergeCell ref="C71:D71"/>
    <mergeCell ref="E71:F71"/>
    <mergeCell ref="E52:F52"/>
    <mergeCell ref="C53:D53"/>
    <mergeCell ref="E53:F53"/>
    <mergeCell ref="C54:D54"/>
    <mergeCell ref="E54:F54"/>
    <mergeCell ref="C55:D55"/>
    <mergeCell ref="E55:F55"/>
    <mergeCell ref="B56:B63"/>
    <mergeCell ref="C56:D56"/>
    <mergeCell ref="E56:F56"/>
    <mergeCell ref="C57:D57"/>
    <mergeCell ref="E57:F57"/>
    <mergeCell ref="C58:D58"/>
    <mergeCell ref="E58:F58"/>
    <mergeCell ref="C59:D59"/>
    <mergeCell ref="E59:F59"/>
    <mergeCell ref="C60:D60"/>
    <mergeCell ref="E60:F60"/>
    <mergeCell ref="C61:D61"/>
    <mergeCell ref="E61:F61"/>
    <mergeCell ref="C63:D63"/>
    <mergeCell ref="E63:F63"/>
    <mergeCell ref="B39:B55"/>
    <mergeCell ref="C39:D39"/>
    <mergeCell ref="E50:F50"/>
    <mergeCell ref="E39:F39"/>
    <mergeCell ref="C40:D40"/>
    <mergeCell ref="E40:F40"/>
    <mergeCell ref="C43:D43"/>
    <mergeCell ref="E43:F43"/>
    <mergeCell ref="C44:D44"/>
    <mergeCell ref="E44:F44"/>
    <mergeCell ref="C45:D45"/>
    <mergeCell ref="E45:F45"/>
    <mergeCell ref="B30:B38"/>
    <mergeCell ref="C30:D30"/>
    <mergeCell ref="E30:F30"/>
    <mergeCell ref="C31:D31"/>
    <mergeCell ref="E31:F31"/>
    <mergeCell ref="C32:D32"/>
    <mergeCell ref="E32:F32"/>
    <mergeCell ref="C33:D33"/>
    <mergeCell ref="E33:F33"/>
    <mergeCell ref="C34:D34"/>
    <mergeCell ref="E34:F34"/>
    <mergeCell ref="C35:D35"/>
    <mergeCell ref="E35:F35"/>
    <mergeCell ref="C37:D37"/>
    <mergeCell ref="E37:F37"/>
    <mergeCell ref="C38:D38"/>
    <mergeCell ref="E38:F38"/>
    <mergeCell ref="A16:A83"/>
    <mergeCell ref="B16:D16"/>
    <mergeCell ref="E16:F16"/>
    <mergeCell ref="B17:D17"/>
    <mergeCell ref="E17:F17"/>
    <mergeCell ref="B18:D18"/>
    <mergeCell ref="E18:F18"/>
    <mergeCell ref="B19:B29"/>
    <mergeCell ref="C19:D19"/>
    <mergeCell ref="E19:F19"/>
    <mergeCell ref="C21:D21"/>
    <mergeCell ref="E21:F21"/>
    <mergeCell ref="C23:D23"/>
    <mergeCell ref="E23:F23"/>
    <mergeCell ref="C25:D25"/>
    <mergeCell ref="E25:F25"/>
    <mergeCell ref="C27:D27"/>
    <mergeCell ref="E27:F27"/>
    <mergeCell ref="C28:D28"/>
    <mergeCell ref="E28:F28"/>
    <mergeCell ref="C51:D51"/>
    <mergeCell ref="E51:F51"/>
    <mergeCell ref="C52:D52"/>
    <mergeCell ref="C29:D29"/>
    <mergeCell ref="E20:F20"/>
    <mergeCell ref="C20:D20"/>
    <mergeCell ref="C22:D22"/>
    <mergeCell ref="E22:F22"/>
    <mergeCell ref="E24:F24"/>
    <mergeCell ref="C24:D24"/>
    <mergeCell ref="B6:E6"/>
    <mergeCell ref="B13:C13"/>
    <mergeCell ref="C15:D15"/>
    <mergeCell ref="E15:F15"/>
    <mergeCell ref="C62:D62"/>
    <mergeCell ref="E62:F62"/>
    <mergeCell ref="C67:D67"/>
    <mergeCell ref="E67:F67"/>
    <mergeCell ref="C76:D76"/>
    <mergeCell ref="E76:F76"/>
    <mergeCell ref="E26:F26"/>
    <mergeCell ref="C26:D26"/>
    <mergeCell ref="C36:D36"/>
    <mergeCell ref="E36:F36"/>
    <mergeCell ref="E42:F42"/>
    <mergeCell ref="C42:D42"/>
    <mergeCell ref="E41:F41"/>
    <mergeCell ref="C41:D41"/>
    <mergeCell ref="E29:F29"/>
    <mergeCell ref="C46:D46"/>
    <mergeCell ref="E46:F46"/>
    <mergeCell ref="C47:D47"/>
    <mergeCell ref="E47:F47"/>
    <mergeCell ref="C48:D48"/>
    <mergeCell ref="E48:F48"/>
    <mergeCell ref="C49:D49"/>
    <mergeCell ref="E49:F49"/>
    <mergeCell ref="C50:D50"/>
  </mergeCells>
  <pageMargins left="1.1811023622047243" right="0.59055118110236215" top="0.78740157480314954" bottom="0.78740157480314954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K39"/>
  <sheetViews>
    <sheetView topLeftCell="A3" zoomScaleNormal="100" workbookViewId="0">
      <selection activeCell="E3" sqref="E3"/>
    </sheetView>
  </sheetViews>
  <sheetFormatPr defaultColWidth="8.81640625" defaultRowHeight="14" x14ac:dyDescent="0.35"/>
  <cols>
    <col min="1" max="1" width="12" style="27" customWidth="1"/>
    <col min="2" max="11" width="10.54296875" style="27" customWidth="1"/>
    <col min="12" max="16384" width="8.81640625" style="27"/>
  </cols>
  <sheetData>
    <row r="1" spans="1:11" ht="20" x14ac:dyDescent="0.35">
      <c r="A1" s="59" t="s">
        <v>160</v>
      </c>
      <c r="B1" s="59"/>
      <c r="C1" s="59"/>
      <c r="D1" s="59"/>
      <c r="E1" s="59"/>
      <c r="F1" s="59"/>
      <c r="G1" s="59"/>
      <c r="H1" s="59"/>
      <c r="I1" s="59"/>
      <c r="J1" s="59"/>
      <c r="K1" s="59"/>
    </row>
    <row r="2" spans="1:11" ht="16.5" x14ac:dyDescent="0.35">
      <c r="A2" s="60"/>
      <c r="B2" s="60" t="str">
        <f>'Sprint 1'!$F$8</f>
        <v>Vinh</v>
      </c>
      <c r="C2" s="60"/>
      <c r="D2" s="60" t="str">
        <f>'Sprint 1'!$F$9</f>
        <v>Thức</v>
      </c>
      <c r="E2" s="60"/>
      <c r="F2" s="60" t="str">
        <f>'Sprint 1'!$F$10</f>
        <v>Cường</v>
      </c>
      <c r="G2" s="60"/>
      <c r="H2" s="60" t="str">
        <f>'Sprint 1'!$F$11</f>
        <v>Pho</v>
      </c>
      <c r="I2" s="60"/>
      <c r="J2" s="60" t="str">
        <f>'Sprint 1'!$F$12</f>
        <v>Trụ</v>
      </c>
      <c r="K2" s="60"/>
    </row>
    <row r="3" spans="1:11" ht="16.5" x14ac:dyDescent="0.35">
      <c r="A3" s="60"/>
      <c r="B3" s="23" t="s">
        <v>14</v>
      </c>
      <c r="C3" s="23" t="s">
        <v>15</v>
      </c>
      <c r="D3" s="23" t="s">
        <v>14</v>
      </c>
      <c r="E3" s="23" t="s">
        <v>15</v>
      </c>
      <c r="F3" s="23" t="s">
        <v>14</v>
      </c>
      <c r="G3" s="23" t="s">
        <v>15</v>
      </c>
      <c r="H3" s="23" t="s">
        <v>14</v>
      </c>
      <c r="I3" s="23" t="s">
        <v>15</v>
      </c>
      <c r="J3" s="23" t="s">
        <v>14</v>
      </c>
      <c r="K3" s="23" t="s">
        <v>15</v>
      </c>
    </row>
    <row r="4" spans="1:11" ht="16.5" x14ac:dyDescent="0.35">
      <c r="A4" s="3" t="s">
        <v>4</v>
      </c>
      <c r="B4" s="24">
        <f>'Sprint 1'!$D$8</f>
        <v>62.633333333333326</v>
      </c>
      <c r="C4" s="24">
        <f>'Sprint 1'!$E$8</f>
        <v>62.633333333333326</v>
      </c>
      <c r="D4" s="24">
        <f>'Sprint 1'!$D$9</f>
        <v>56.133333333333326</v>
      </c>
      <c r="E4" s="24">
        <f>'Sprint 1'!$E$9</f>
        <v>56.133333333333326</v>
      </c>
      <c r="F4" s="24">
        <f>'Sprint 1'!$D$10</f>
        <v>131.13333333333333</v>
      </c>
      <c r="G4" s="24">
        <f>'Sprint 1'!$E$10</f>
        <v>131.63333333333333</v>
      </c>
      <c r="H4" s="24">
        <f>'Sprint 1'!$D$11</f>
        <v>44.3</v>
      </c>
      <c r="I4" s="24">
        <f>'Sprint 1'!$E$11</f>
        <v>38.799999999999997</v>
      </c>
      <c r="J4" s="24">
        <f>'Sprint 1'!$D$12</f>
        <v>16.3</v>
      </c>
      <c r="K4" s="24">
        <f>'Sprint 1'!$E$12</f>
        <v>9.3000000000000007</v>
      </c>
    </row>
    <row r="5" spans="1:11" ht="16.5" x14ac:dyDescent="0.35">
      <c r="A5" s="3" t="s">
        <v>132</v>
      </c>
      <c r="B5" s="24">
        <f>'Sprint 2'!$D$8</f>
        <v>50.733333333333341</v>
      </c>
      <c r="C5" s="24">
        <f>'Sprint 2'!$E$8</f>
        <v>50.733333333333341</v>
      </c>
      <c r="D5" s="24">
        <f>'Sprint 2'!$D$9</f>
        <v>95.733333333333334</v>
      </c>
      <c r="E5" s="24">
        <f>'Sprint 2'!$E$9</f>
        <v>95.733333333333334</v>
      </c>
      <c r="F5" s="24">
        <f>'Sprint 2'!$D$10</f>
        <v>26.733333333333331</v>
      </c>
      <c r="G5" s="24">
        <f>'Sprint 2'!$E$10</f>
        <v>26.733333333333331</v>
      </c>
      <c r="H5" s="24">
        <f>'Sprint 2'!$D$11</f>
        <v>16.399999999999999</v>
      </c>
      <c r="I5" s="24">
        <f>'Sprint 2'!$E$11</f>
        <v>16.399999999999999</v>
      </c>
      <c r="J5" s="24">
        <f>'Sprint 2'!$D$12</f>
        <v>27.4</v>
      </c>
      <c r="K5" s="24">
        <f>'Sprint 2'!$E$12</f>
        <v>11.4</v>
      </c>
    </row>
    <row r="6" spans="1:11" ht="16.5" x14ac:dyDescent="0.35">
      <c r="A6" s="25" t="s">
        <v>27</v>
      </c>
      <c r="B6" s="26">
        <f t="shared" ref="B6:K6" si="0">SUM(B4:B5)</f>
        <v>113.36666666666667</v>
      </c>
      <c r="C6" s="26">
        <f t="shared" si="0"/>
        <v>113.36666666666667</v>
      </c>
      <c r="D6" s="26">
        <f t="shared" si="0"/>
        <v>151.86666666666667</v>
      </c>
      <c r="E6" s="26">
        <f t="shared" si="0"/>
        <v>151.86666666666667</v>
      </c>
      <c r="F6" s="26">
        <f t="shared" si="0"/>
        <v>157.86666666666665</v>
      </c>
      <c r="G6" s="26">
        <f t="shared" si="0"/>
        <v>158.36666666666665</v>
      </c>
      <c r="H6" s="26">
        <f t="shared" si="0"/>
        <v>60.699999999999996</v>
      </c>
      <c r="I6" s="26">
        <f t="shared" si="0"/>
        <v>55.199999999999996</v>
      </c>
      <c r="J6" s="26">
        <f t="shared" si="0"/>
        <v>43.7</v>
      </c>
      <c r="K6" s="26">
        <f t="shared" si="0"/>
        <v>20.700000000000003</v>
      </c>
    </row>
    <row r="7" spans="1:11" ht="16.5" x14ac:dyDescent="0.35">
      <c r="A7" s="5"/>
      <c r="B7" s="5"/>
      <c r="C7" s="5"/>
      <c r="D7" s="5"/>
      <c r="E7" s="5"/>
      <c r="F7" s="5"/>
      <c r="G7" s="5"/>
      <c r="H7" s="5"/>
      <c r="I7" s="5"/>
      <c r="J7" s="5"/>
      <c r="K7" s="5"/>
    </row>
    <row r="8" spans="1:11" ht="16.5" x14ac:dyDescent="0.35">
      <c r="A8" s="5"/>
      <c r="B8" s="5"/>
      <c r="C8" s="5"/>
      <c r="D8" s="5"/>
      <c r="E8" s="5"/>
      <c r="F8" s="5"/>
      <c r="G8" s="5"/>
      <c r="H8" s="5"/>
      <c r="I8" s="5"/>
      <c r="J8" s="5"/>
      <c r="K8" s="5"/>
    </row>
    <row r="9" spans="1:11" ht="16.5" x14ac:dyDescent="0.35">
      <c r="A9" s="5"/>
      <c r="B9" s="5"/>
      <c r="C9" s="5"/>
      <c r="D9" s="5"/>
      <c r="E9" s="58" t="s">
        <v>161</v>
      </c>
      <c r="F9" s="58"/>
      <c r="G9" s="5"/>
      <c r="H9" s="5"/>
      <c r="I9" s="5"/>
      <c r="J9" s="5"/>
      <c r="K9" s="5"/>
    </row>
    <row r="10" spans="1:11" ht="16.5" x14ac:dyDescent="0.35">
      <c r="A10" s="5"/>
      <c r="B10" s="5"/>
      <c r="C10" s="5"/>
      <c r="D10" s="5"/>
      <c r="E10" s="28" t="s">
        <v>14</v>
      </c>
      <c r="F10" s="18">
        <f>SUMIF($B$3:$K$3,"Thực tế",$B$6:$K$6)</f>
        <v>527.5</v>
      </c>
      <c r="G10" s="5"/>
      <c r="H10" s="5"/>
      <c r="I10" s="5"/>
      <c r="J10" s="5"/>
      <c r="K10" s="5"/>
    </row>
    <row r="11" spans="1:11" ht="16.5" x14ac:dyDescent="0.35">
      <c r="A11" s="5"/>
      <c r="B11" s="5"/>
      <c r="C11" s="5"/>
      <c r="D11" s="5"/>
      <c r="E11" s="28" t="s">
        <v>15</v>
      </c>
      <c r="F11" s="18">
        <f>SUMIF($B$3:$K$3,"Ước tính",$B$6:$K$6)</f>
        <v>499.5</v>
      </c>
      <c r="G11" s="5"/>
      <c r="H11" s="5"/>
      <c r="I11" s="5"/>
      <c r="J11" s="5"/>
      <c r="K11" s="5"/>
    </row>
    <row r="12" spans="1:11" ht="16.5" x14ac:dyDescent="0.35">
      <c r="A12" s="5"/>
      <c r="B12" s="5"/>
      <c r="C12" s="5"/>
      <c r="D12" s="5"/>
      <c r="E12" s="5"/>
      <c r="F12" s="5"/>
      <c r="G12" s="5"/>
      <c r="H12" s="5"/>
      <c r="I12" s="5"/>
      <c r="J12" s="5"/>
      <c r="K12" s="5"/>
    </row>
    <row r="13" spans="1:11" ht="16.5" x14ac:dyDescent="0.35">
      <c r="A13" s="6"/>
      <c r="B13" s="5"/>
      <c r="C13" s="5"/>
      <c r="D13" s="5"/>
      <c r="E13" s="5"/>
      <c r="F13" s="5"/>
      <c r="G13" s="5"/>
      <c r="H13" s="5"/>
      <c r="I13" s="5"/>
      <c r="J13" s="5"/>
      <c r="K13" s="5"/>
    </row>
    <row r="14" spans="1:11" ht="16.5" x14ac:dyDescent="0.35">
      <c r="A14" s="5"/>
      <c r="B14" s="5"/>
      <c r="C14" s="5"/>
      <c r="D14" s="5"/>
      <c r="E14" s="5"/>
      <c r="F14" s="5"/>
      <c r="G14" s="5"/>
      <c r="H14" s="5"/>
      <c r="I14" s="5"/>
      <c r="J14" s="5"/>
      <c r="K14" s="5"/>
    </row>
    <row r="15" spans="1:11" ht="16.5" x14ac:dyDescent="0.35">
      <c r="A15" s="5"/>
      <c r="B15" s="5"/>
      <c r="C15" s="5"/>
      <c r="D15" s="5"/>
      <c r="E15" s="5"/>
      <c r="F15" s="5"/>
      <c r="G15" s="5"/>
      <c r="H15" s="5"/>
      <c r="I15" s="5"/>
      <c r="J15" s="5"/>
      <c r="K15" s="5"/>
    </row>
    <row r="16" spans="1:11" ht="16.5" x14ac:dyDescent="0.35">
      <c r="A16" s="5"/>
      <c r="B16" s="5"/>
      <c r="C16" s="5"/>
      <c r="D16" s="5"/>
      <c r="E16" s="5"/>
      <c r="F16" s="5"/>
      <c r="G16" s="5"/>
      <c r="H16" s="5"/>
      <c r="I16" s="5"/>
      <c r="J16" s="5"/>
      <c r="K16" s="5"/>
    </row>
    <row r="17" spans="1:11" ht="16.5" x14ac:dyDescent="0.35">
      <c r="A17" s="5"/>
      <c r="B17" s="5"/>
      <c r="C17" s="5"/>
      <c r="D17" s="5"/>
      <c r="E17" s="5"/>
      <c r="F17" s="5"/>
      <c r="G17" s="5"/>
      <c r="H17" s="5"/>
      <c r="I17" s="5"/>
      <c r="J17" s="5"/>
      <c r="K17" s="5"/>
    </row>
    <row r="18" spans="1:11" ht="16.5" x14ac:dyDescent="0.35">
      <c r="A18" s="5"/>
      <c r="B18" s="5"/>
      <c r="C18" s="5"/>
      <c r="D18" s="5"/>
      <c r="E18" s="5"/>
      <c r="F18" s="5"/>
      <c r="G18" s="5"/>
      <c r="H18" s="5"/>
      <c r="I18" s="5"/>
      <c r="J18" s="5"/>
      <c r="K18" s="5"/>
    </row>
    <row r="19" spans="1:11" ht="16.5" x14ac:dyDescent="0.35">
      <c r="A19" s="5"/>
      <c r="B19" s="5"/>
      <c r="C19" s="5"/>
      <c r="D19" s="5"/>
      <c r="E19" s="5"/>
      <c r="F19" s="5"/>
      <c r="G19" s="5"/>
      <c r="H19" s="5"/>
      <c r="I19" s="5"/>
      <c r="J19" s="5"/>
      <c r="K19" s="5"/>
    </row>
    <row r="20" spans="1:11" ht="16.5" x14ac:dyDescent="0.3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</row>
    <row r="21" spans="1:11" ht="16.5" x14ac:dyDescent="0.3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</row>
    <row r="22" spans="1:11" ht="16.5" x14ac:dyDescent="0.3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</row>
    <row r="23" spans="1:11" ht="16.5" x14ac:dyDescent="0.35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</row>
    <row r="24" spans="1:11" ht="16.5" x14ac:dyDescent="0.3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</row>
    <row r="25" spans="1:11" ht="16.5" x14ac:dyDescent="0.3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</row>
    <row r="26" spans="1:11" ht="16.5" x14ac:dyDescent="0.3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</row>
    <row r="27" spans="1:11" ht="16.5" x14ac:dyDescent="0.3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</row>
    <row r="28" spans="1:11" ht="16.5" x14ac:dyDescent="0.3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</row>
    <row r="29" spans="1:11" ht="16.5" x14ac:dyDescent="0.3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</row>
    <row r="30" spans="1:11" ht="16.5" x14ac:dyDescent="0.3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</row>
    <row r="31" spans="1:11" ht="16.5" x14ac:dyDescent="0.3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</row>
    <row r="32" spans="1:11" ht="16.5" x14ac:dyDescent="0.3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</row>
    <row r="33" spans="1:11" ht="16.5" x14ac:dyDescent="0.3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</row>
    <row r="34" spans="1:11" ht="16.5" x14ac:dyDescent="0.3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</row>
    <row r="35" spans="1:11" ht="16.5" x14ac:dyDescent="0.3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</row>
    <row r="36" spans="1:11" ht="16.5" x14ac:dyDescent="0.3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</row>
    <row r="37" spans="1:11" ht="16.5" x14ac:dyDescent="0.3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</row>
    <row r="38" spans="1:11" ht="16.5" x14ac:dyDescent="0.3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</row>
    <row r="39" spans="1:11" ht="16.5" x14ac:dyDescent="0.3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</row>
  </sheetData>
  <mergeCells count="8">
    <mergeCell ref="E9:F9"/>
    <mergeCell ref="A1:K1"/>
    <mergeCell ref="A2:A3"/>
    <mergeCell ref="B2:C2"/>
    <mergeCell ref="D2:E2"/>
    <mergeCell ref="F2:G2"/>
    <mergeCell ref="H2:I2"/>
    <mergeCell ref="J2:K2"/>
  </mergeCells>
  <pageMargins left="1.1811023622047243" right="0.59055118110236215" top="0.78740157480314954" bottom="0.78740157480314954" header="0.511811023622047" footer="0.511811023622047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Sprint 1</vt:lpstr>
      <vt:lpstr>Sprint 2</vt:lpstr>
      <vt:lpstr>Total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‎ CUONG</cp:lastModifiedBy>
  <cp:revision>1</cp:revision>
  <dcterms:created xsi:type="dcterms:W3CDTF">2026-09-19T08:20:32Z</dcterms:created>
  <dcterms:modified xsi:type="dcterms:W3CDTF">2026-09-29T15:29:08Z</dcterms:modified>
  <dc:language>en-US</dc:language>
</cp:coreProperties>
</file>